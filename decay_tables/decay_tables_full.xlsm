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AquestLlibreDeTreball"/>
  <mc:AlternateContent xmlns:mc="http://schemas.openxmlformats.org/markup-compatibility/2006">
    <mc:Choice Requires="x15">
      <x15ac:absPath xmlns:x15ac="http://schemas.microsoft.com/office/spreadsheetml/2010/11/ac" url="C:\Users\ruben\Dropbox\hybrids\2 decay\"/>
    </mc:Choice>
  </mc:AlternateContent>
  <xr:revisionPtr revIDLastSave="0" documentId="13_ncr:1_{0C256801-312B-4B59-8044-ECF0AAAFA74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ons" sheetId="12" r:id="rId1"/>
    <sheet name="flip0" sheetId="13" r:id="rId2"/>
    <sheet name="flip1" sheetId="14" r:id="rId3"/>
    <sheet name="p0_cons" sheetId="1" r:id="rId4"/>
    <sheet name="p1_cons" sheetId="2" r:id="rId5"/>
    <sheet name="sd1_cons" sheetId="3" r:id="rId6"/>
    <sheet name="p0_flip0" sheetId="4" r:id="rId7"/>
    <sheet name="p1_flip0" sheetId="5" r:id="rId8"/>
    <sheet name="sd1_flip0" sheetId="7" r:id="rId9"/>
    <sheet name="p0_flip1" sheetId="8" r:id="rId10"/>
    <sheet name="p1_flip1" sheetId="9" r:id="rId11"/>
    <sheet name="sd1_flip1" sheetId="10" r:id="rId12"/>
    <sheet name="VBA_querry" sheetId="11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8" i="12" l="1"/>
  <c r="E38" i="12"/>
  <c r="T37" i="12"/>
  <c r="T36" i="12"/>
  <c r="T35" i="12"/>
  <c r="E9" i="7"/>
  <c r="L9" i="7" s="1"/>
  <c r="G38" i="12"/>
  <c r="E37" i="12"/>
  <c r="K37" i="12" s="1"/>
  <c r="U37" i="12" s="1"/>
  <c r="G37" i="12"/>
  <c r="E39" i="12"/>
  <c r="Q39" i="12" s="1"/>
  <c r="G39" i="12"/>
  <c r="S39" i="12"/>
  <c r="E55" i="3"/>
  <c r="G55" i="3"/>
  <c r="M5" i="12" a="1"/>
  <c r="N9" i="13" a="1"/>
  <c r="O38" i="12" a="1"/>
  <c r="P29" i="13" a="1"/>
  <c r="O37" i="12" a="1"/>
  <c r="P28" i="13" a="1"/>
  <c r="M8" i="12" a="1"/>
  <c r="F55" i="3" a="1"/>
  <c r="M7" i="12" a="1"/>
  <c r="F39" i="12" a="1"/>
  <c r="M6" i="12" a="1"/>
  <c r="F9" i="7" a="1"/>
  <c r="F37" i="12" a="1"/>
  <c r="O39" i="12" a="1"/>
  <c r="M5" i="12" l="1"/>
  <c r="M8" i="12"/>
  <c r="M7" i="12"/>
  <c r="M6" i="12"/>
  <c r="N9" i="13"/>
  <c r="P29" i="13"/>
  <c r="P28" i="13"/>
  <c r="L55" i="3"/>
  <c r="M55" i="3" s="1"/>
  <c r="N9" i="7"/>
  <c r="O39" i="12"/>
  <c r="O38" i="12"/>
  <c r="O37" i="12"/>
  <c r="F9" i="7"/>
  <c r="Q9" i="7" s="1"/>
  <c r="M38" i="12"/>
  <c r="K38" i="12"/>
  <c r="U38" i="12" s="1"/>
  <c r="S38" i="12"/>
  <c r="T38" i="12"/>
  <c r="Q37" i="12"/>
  <c r="S37" i="12"/>
  <c r="L37" i="12"/>
  <c r="M37" i="12" s="1"/>
  <c r="F37" i="12"/>
  <c r="L39" i="12"/>
  <c r="M39" i="12" s="1"/>
  <c r="T39" i="12"/>
  <c r="V39" i="12"/>
  <c r="F39" i="12"/>
  <c r="K39" i="12"/>
  <c r="U39" i="12" s="1"/>
  <c r="F55" i="3"/>
  <c r="P55" i="3" s="1"/>
  <c r="K55" i="3"/>
  <c r="E29" i="13"/>
  <c r="E30" i="13"/>
  <c r="K5" i="12"/>
  <c r="E34" i="14"/>
  <c r="U34" i="14" s="1"/>
  <c r="E32" i="14"/>
  <c r="U32" i="14" s="1"/>
  <c r="E41" i="13"/>
  <c r="E38" i="13"/>
  <c r="E36" i="13"/>
  <c r="L36" i="13" s="1"/>
  <c r="E32" i="13"/>
  <c r="U32" i="13" s="1"/>
  <c r="E36" i="12"/>
  <c r="E40" i="12"/>
  <c r="G40" i="12"/>
  <c r="G36" i="12"/>
  <c r="K6" i="1"/>
  <c r="K40" i="1"/>
  <c r="E42" i="14"/>
  <c r="E41" i="14"/>
  <c r="E39" i="14"/>
  <c r="U39" i="14" s="1"/>
  <c r="E38" i="14"/>
  <c r="U38" i="14" s="1"/>
  <c r="E40" i="14"/>
  <c r="U40" i="14" s="1"/>
  <c r="E37" i="14"/>
  <c r="E35" i="14"/>
  <c r="U35" i="14" s="1"/>
  <c r="E33" i="14"/>
  <c r="E31" i="14"/>
  <c r="U31" i="14" s="1"/>
  <c r="M41" i="14"/>
  <c r="E25" i="14"/>
  <c r="S25" i="14" s="1"/>
  <c r="E23" i="14"/>
  <c r="S23" i="14" s="1"/>
  <c r="E24" i="14"/>
  <c r="S24" i="14" s="1"/>
  <c r="E22" i="14"/>
  <c r="S22" i="14" s="1"/>
  <c r="E20" i="14"/>
  <c r="S20" i="14" s="1"/>
  <c r="E18" i="14"/>
  <c r="E19" i="14"/>
  <c r="S19" i="14" s="1"/>
  <c r="E17" i="14"/>
  <c r="E5" i="14"/>
  <c r="S5" i="14" s="1"/>
  <c r="N5" i="14" a="1"/>
  <c r="F39" i="14" a="1"/>
  <c r="N25" i="14" a="1"/>
  <c r="F23" i="14" a="1"/>
  <c r="F20" i="14" a="1"/>
  <c r="R37" i="12" a="1"/>
  <c r="F42" i="14" a="1"/>
  <c r="P35" i="14" a="1"/>
  <c r="P38" i="13" a="1"/>
  <c r="F36" i="12" a="1"/>
  <c r="P33" i="14" a="1"/>
  <c r="P40" i="14" a="1"/>
  <c r="N23" i="14" a="1"/>
  <c r="F5" i="14" a="1"/>
  <c r="F38" i="14" a="1"/>
  <c r="P39" i="14" a="1"/>
  <c r="F38" i="12" a="1"/>
  <c r="F32" i="14" a="1"/>
  <c r="P34" i="14" a="1"/>
  <c r="R39" i="12" a="1"/>
  <c r="F31" i="14" a="1"/>
  <c r="F29" i="13" a="1"/>
  <c r="F34" i="14" a="1"/>
  <c r="F35" i="14" a="1"/>
  <c r="P30" i="13" a="1"/>
  <c r="P38" i="14" a="1"/>
  <c r="P32" i="13" a="1"/>
  <c r="O36" i="12" a="1"/>
  <c r="O40" i="12" a="1"/>
  <c r="F30" i="13" a="1"/>
  <c r="P9" i="7" a="1"/>
  <c r="F40" i="14" a="1"/>
  <c r="F25" i="14" a="1"/>
  <c r="F37" i="14" a="1"/>
  <c r="N22" i="14" a="1"/>
  <c r="N20" i="14" a="1"/>
  <c r="P32" i="14" a="1"/>
  <c r="F32" i="13" a="1"/>
  <c r="N18" i="14" a="1"/>
  <c r="O55" i="3" a="1"/>
  <c r="O40" i="12" l="1"/>
  <c r="O36" i="12"/>
  <c r="P9" i="7"/>
  <c r="S40" i="12"/>
  <c r="S17" i="14"/>
  <c r="U41" i="14"/>
  <c r="U42" i="14"/>
  <c r="S18" i="14"/>
  <c r="U33" i="14"/>
  <c r="M29" i="13"/>
  <c r="U29" i="13"/>
  <c r="U38" i="13"/>
  <c r="U37" i="14"/>
  <c r="U41" i="13"/>
  <c r="M41" i="13"/>
  <c r="L41" i="13"/>
  <c r="U36" i="13"/>
  <c r="M30" i="13"/>
  <c r="U30" i="13"/>
  <c r="M36" i="13"/>
  <c r="F38" i="12"/>
  <c r="P38" i="12" s="1"/>
  <c r="V38" i="12"/>
  <c r="R37" i="12"/>
  <c r="P37" i="12"/>
  <c r="V37" i="12"/>
  <c r="R39" i="12"/>
  <c r="W39" i="12" s="1"/>
  <c r="P39" i="12"/>
  <c r="K40" i="12"/>
  <c r="U40" i="12" s="1"/>
  <c r="T40" i="12"/>
  <c r="O55" i="3"/>
  <c r="N22" i="14"/>
  <c r="U22" i="14" s="1"/>
  <c r="F37" i="14"/>
  <c r="F34" i="14"/>
  <c r="P34" i="14"/>
  <c r="F40" i="14"/>
  <c r="P40" i="14"/>
  <c r="P38" i="14"/>
  <c r="W38" i="14" s="1"/>
  <c r="F38" i="14"/>
  <c r="F23" i="14"/>
  <c r="O23" i="14" s="1"/>
  <c r="N23" i="14"/>
  <c r="N5" i="14"/>
  <c r="F5" i="14"/>
  <c r="N25" i="14"/>
  <c r="U25" i="14" s="1"/>
  <c r="F25" i="14"/>
  <c r="P39" i="14"/>
  <c r="F39" i="14"/>
  <c r="N20" i="14"/>
  <c r="U20" i="14" s="1"/>
  <c r="F20" i="14"/>
  <c r="F31" i="14"/>
  <c r="F42" i="14"/>
  <c r="F35" i="14"/>
  <c r="P35" i="14"/>
  <c r="N18" i="14"/>
  <c r="P33" i="14"/>
  <c r="W33" i="14" s="1"/>
  <c r="J22" i="14"/>
  <c r="M37" i="14"/>
  <c r="N37" i="14" s="1"/>
  <c r="K24" i="14"/>
  <c r="V38" i="14"/>
  <c r="L34" i="14"/>
  <c r="K23" i="14"/>
  <c r="R23" i="14" s="1"/>
  <c r="J5" i="14"/>
  <c r="T25" i="14"/>
  <c r="M39" i="14"/>
  <c r="T39" i="14" s="1"/>
  <c r="T20" i="14"/>
  <c r="V42" i="14"/>
  <c r="L35" i="14"/>
  <c r="T17" i="14"/>
  <c r="P19" i="14"/>
  <c r="M33" i="14"/>
  <c r="N33" i="14" s="1"/>
  <c r="P32" i="14"/>
  <c r="W32" i="14" s="1"/>
  <c r="F32" i="14"/>
  <c r="P38" i="13"/>
  <c r="W38" i="13" s="1"/>
  <c r="M38" i="13"/>
  <c r="P32" i="13"/>
  <c r="W32" i="13" s="1"/>
  <c r="F32" i="13"/>
  <c r="P30" i="13"/>
  <c r="F30" i="13"/>
  <c r="W29" i="13"/>
  <c r="F29" i="13"/>
  <c r="F36" i="12"/>
  <c r="V36" i="12"/>
  <c r="L36" i="12"/>
  <c r="M36" i="12" s="1"/>
  <c r="S36" i="12"/>
  <c r="M32" i="13"/>
  <c r="T32" i="13" s="1"/>
  <c r="L40" i="12"/>
  <c r="N30" i="13"/>
  <c r="V41" i="13"/>
  <c r="L38" i="13"/>
  <c r="V38" i="13"/>
  <c r="K36" i="12"/>
  <c r="U36" i="12" s="1"/>
  <c r="T36" i="13"/>
  <c r="N36" i="13"/>
  <c r="V36" i="13"/>
  <c r="L32" i="13"/>
  <c r="V32" i="13"/>
  <c r="M34" i="14"/>
  <c r="T34" i="14" s="1"/>
  <c r="V34" i="14"/>
  <c r="L30" i="13"/>
  <c r="T30" i="13"/>
  <c r="V30" i="13"/>
  <c r="L29" i="13"/>
  <c r="V29" i="13"/>
  <c r="L32" i="14"/>
  <c r="M32" i="14"/>
  <c r="T32" i="14" s="1"/>
  <c r="V32" i="14"/>
  <c r="W40" i="14"/>
  <c r="W39" i="14"/>
  <c r="W35" i="14"/>
  <c r="U23" i="14"/>
  <c r="U18" i="14"/>
  <c r="U5" i="14"/>
  <c r="M31" i="14"/>
  <c r="N31" i="14" s="1"/>
  <c r="L41" i="14"/>
  <c r="V41" i="14"/>
  <c r="R41" i="14"/>
  <c r="R33" i="14"/>
  <c r="M35" i="14"/>
  <c r="T35" i="14" s="1"/>
  <c r="V31" i="14"/>
  <c r="V40" i="14"/>
  <c r="V33" i="14"/>
  <c r="L42" i="14"/>
  <c r="V37" i="14"/>
  <c r="M42" i="14"/>
  <c r="V35" i="14"/>
  <c r="M40" i="14"/>
  <c r="R37" i="14"/>
  <c r="L38" i="14"/>
  <c r="R40" i="14"/>
  <c r="R31" i="14"/>
  <c r="N41" i="14"/>
  <c r="T41" i="14"/>
  <c r="L39" i="14"/>
  <c r="R39" i="14"/>
  <c r="V39" i="14"/>
  <c r="R38" i="14"/>
  <c r="L40" i="14"/>
  <c r="L31" i="14"/>
  <c r="L33" i="14"/>
  <c r="L37" i="14"/>
  <c r="M38" i="14"/>
  <c r="R35" i="14"/>
  <c r="R42" i="14"/>
  <c r="J18" i="14"/>
  <c r="P23" i="14"/>
  <c r="T22" i="14"/>
  <c r="J25" i="14"/>
  <c r="K25" i="14"/>
  <c r="R25" i="14" s="1"/>
  <c r="P18" i="14"/>
  <c r="J17" i="14"/>
  <c r="K17" i="14"/>
  <c r="K19" i="14"/>
  <c r="P17" i="14"/>
  <c r="T19" i="14"/>
  <c r="T23" i="14"/>
  <c r="J19" i="14"/>
  <c r="K18" i="14"/>
  <c r="L23" i="14"/>
  <c r="L24" i="14"/>
  <c r="R24" i="14"/>
  <c r="K22" i="14"/>
  <c r="T24" i="14"/>
  <c r="P24" i="14"/>
  <c r="T18" i="14"/>
  <c r="K20" i="14"/>
  <c r="P22" i="14"/>
  <c r="J24" i="14"/>
  <c r="P20" i="14"/>
  <c r="J23" i="14"/>
  <c r="P25" i="14"/>
  <c r="J20" i="14"/>
  <c r="K5" i="14"/>
  <c r="Q20" i="14" a="1"/>
  <c r="F19" i="14" a="1"/>
  <c r="R36" i="12" a="1"/>
  <c r="P42" i="14" a="1"/>
  <c r="F41" i="14" a="1"/>
  <c r="P37" i="14" a="1"/>
  <c r="P41" i="14" a="1"/>
  <c r="S29" i="13" a="1"/>
  <c r="P36" i="13" a="1"/>
  <c r="S34" i="14" a="1"/>
  <c r="F18" i="14" a="1"/>
  <c r="S30" i="13" a="1"/>
  <c r="S39" i="14" a="1"/>
  <c r="F22" i="14" a="1"/>
  <c r="R38" i="12" a="1"/>
  <c r="N24" i="14" a="1"/>
  <c r="S37" i="14" a="1"/>
  <c r="S38" i="14" a="1"/>
  <c r="F38" i="13" a="1"/>
  <c r="S42" i="14" a="1"/>
  <c r="F40" i="12" a="1"/>
  <c r="Q5" i="14" a="1"/>
  <c r="F17" i="14" a="1"/>
  <c r="P31" i="14" a="1"/>
  <c r="F36" i="13" a="1"/>
  <c r="S35" i="14" a="1"/>
  <c r="S31" i="14" a="1"/>
  <c r="S40" i="14" a="1"/>
  <c r="S32" i="14" a="1"/>
  <c r="N19" i="14" a="1"/>
  <c r="Q25" i="14" a="1"/>
  <c r="N17" i="14" a="1"/>
  <c r="F41" i="13" a="1"/>
  <c r="F24" i="14" a="1"/>
  <c r="S32" i="13" a="1"/>
  <c r="F33" i="14" a="1"/>
  <c r="Q23" i="14" a="1"/>
  <c r="P41" i="13" a="1"/>
  <c r="N39" i="14" l="1"/>
  <c r="W37" i="12"/>
  <c r="X37" i="12" s="1"/>
  <c r="F41" i="13"/>
  <c r="P31" i="14"/>
  <c r="W31" i="14" s="1"/>
  <c r="N19" i="14"/>
  <c r="U19" i="14" s="1"/>
  <c r="F17" i="14"/>
  <c r="F22" i="14"/>
  <c r="P41" i="13"/>
  <c r="W41" i="13" s="1"/>
  <c r="F24" i="14"/>
  <c r="N24" i="14"/>
  <c r="U24" i="14" s="1"/>
  <c r="N17" i="14"/>
  <c r="U17" i="14" s="1"/>
  <c r="P36" i="13"/>
  <c r="P37" i="14"/>
  <c r="W37" i="14" s="1"/>
  <c r="P42" i="14"/>
  <c r="W42" i="14" s="1"/>
  <c r="F36" i="13"/>
  <c r="F19" i="14"/>
  <c r="F33" i="14"/>
  <c r="P41" i="14"/>
  <c r="W41" i="14" s="1"/>
  <c r="F41" i="14"/>
  <c r="F38" i="13"/>
  <c r="F18" i="14"/>
  <c r="T33" i="14"/>
  <c r="R38" i="12"/>
  <c r="W38" i="12" s="1"/>
  <c r="X39" i="12"/>
  <c r="V40" i="12"/>
  <c r="F40" i="12"/>
  <c r="Q5" i="14"/>
  <c r="Q20" i="14"/>
  <c r="S35" i="14"/>
  <c r="Q23" i="14"/>
  <c r="V23" i="14" s="1"/>
  <c r="W23" i="14" s="1"/>
  <c r="S34" i="14"/>
  <c r="X34" i="14" s="1"/>
  <c r="S42" i="14"/>
  <c r="S39" i="14"/>
  <c r="S38" i="14"/>
  <c r="S37" i="14"/>
  <c r="S31" i="14"/>
  <c r="Q25" i="14"/>
  <c r="S40" i="14"/>
  <c r="T37" i="14"/>
  <c r="S32" i="14"/>
  <c r="X32" i="14" s="1"/>
  <c r="S32" i="13"/>
  <c r="X32" i="13" s="1"/>
  <c r="S30" i="13"/>
  <c r="S29" i="13"/>
  <c r="R36" i="12"/>
  <c r="N32" i="13"/>
  <c r="W36" i="12"/>
  <c r="M40" i="12"/>
  <c r="N34" i="14"/>
  <c r="N41" i="13"/>
  <c r="T41" i="13"/>
  <c r="N38" i="13"/>
  <c r="T38" i="13"/>
  <c r="Q38" i="13"/>
  <c r="P36" i="12"/>
  <c r="W36" i="13"/>
  <c r="Q32" i="13"/>
  <c r="W34" i="14"/>
  <c r="Q34" i="14"/>
  <c r="N32" i="14"/>
  <c r="W30" i="13"/>
  <c r="N29" i="13"/>
  <c r="T29" i="13"/>
  <c r="Q29" i="13"/>
  <c r="Q32" i="14"/>
  <c r="T31" i="14"/>
  <c r="L5" i="14"/>
  <c r="R17" i="14"/>
  <c r="N35" i="14"/>
  <c r="T42" i="14"/>
  <c r="N42" i="14"/>
  <c r="N40" i="14"/>
  <c r="T40" i="14"/>
  <c r="Q40" i="14"/>
  <c r="Q41" i="14"/>
  <c r="N38" i="14"/>
  <c r="T38" i="14"/>
  <c r="Q31" i="14"/>
  <c r="Q37" i="14"/>
  <c r="Q33" i="14"/>
  <c r="L17" i="14"/>
  <c r="R19" i="14"/>
  <c r="L25" i="14"/>
  <c r="L19" i="14"/>
  <c r="R18" i="14"/>
  <c r="L18" i="14"/>
  <c r="O18" i="14"/>
  <c r="L20" i="14"/>
  <c r="R20" i="14"/>
  <c r="L22" i="14"/>
  <c r="R22" i="14"/>
  <c r="O17" i="14"/>
  <c r="O5" i="14"/>
  <c r="P5" i="14"/>
  <c r="S38" i="13" a="1"/>
  <c r="Q17" i="14" a="1"/>
  <c r="R40" i="12" a="1"/>
  <c r="Q22" i="14" a="1"/>
  <c r="S36" i="13" a="1"/>
  <c r="Q19" i="14" a="1"/>
  <c r="S33" i="14" a="1"/>
  <c r="S41" i="13" a="1"/>
  <c r="S41" i="14" a="1"/>
  <c r="Q24" i="14" a="1"/>
  <c r="Q18" i="14" a="1"/>
  <c r="X37" i="14" l="1"/>
  <c r="Y37" i="14" s="1"/>
  <c r="S33" i="14"/>
  <c r="X33" i="14" s="1"/>
  <c r="Q24" i="14"/>
  <c r="V24" i="14" s="1"/>
  <c r="Q19" i="14"/>
  <c r="S36" i="13"/>
  <c r="X36" i="13" s="1"/>
  <c r="Q22" i="14"/>
  <c r="V22" i="14" s="1"/>
  <c r="Q17" i="14"/>
  <c r="V17" i="14" s="1"/>
  <c r="W17" i="14" s="1"/>
  <c r="Q18" i="14"/>
  <c r="V18" i="14" s="1"/>
  <c r="W18" i="14" s="1"/>
  <c r="S38" i="13"/>
  <c r="X38" i="13" s="1"/>
  <c r="Y38" i="13" s="1"/>
  <c r="S41" i="14"/>
  <c r="X41" i="14" s="1"/>
  <c r="Y41" i="14" s="1"/>
  <c r="S41" i="13"/>
  <c r="X41" i="13" s="1"/>
  <c r="X38" i="12"/>
  <c r="R40" i="12"/>
  <c r="W40" i="12" s="1"/>
  <c r="X31" i="14"/>
  <c r="Y31" i="14" s="1"/>
  <c r="Q41" i="13"/>
  <c r="P40" i="12"/>
  <c r="X36" i="12"/>
  <c r="Q36" i="13"/>
  <c r="Y32" i="13"/>
  <c r="Y34" i="14"/>
  <c r="X30" i="13"/>
  <c r="Q30" i="13"/>
  <c r="X29" i="13"/>
  <c r="Y29" i="13" s="1"/>
  <c r="Y32" i="14"/>
  <c r="X40" i="14"/>
  <c r="Y40" i="14" s="1"/>
  <c r="Y33" i="14"/>
  <c r="X38" i="14"/>
  <c r="X35" i="14"/>
  <c r="X39" i="14"/>
  <c r="X42" i="14"/>
  <c r="Q38" i="14"/>
  <c r="Q35" i="14"/>
  <c r="Q39" i="14"/>
  <c r="Q42" i="14"/>
  <c r="V19" i="14"/>
  <c r="V20" i="14"/>
  <c r="V25" i="14"/>
  <c r="O19" i="14"/>
  <c r="O20" i="14"/>
  <c r="O25" i="14"/>
  <c r="O24" i="14"/>
  <c r="O22" i="14"/>
  <c r="R5" i="14"/>
  <c r="T5" i="14"/>
  <c r="E6" i="14"/>
  <c r="S6" i="14" s="1"/>
  <c r="N6" i="14" a="1"/>
  <c r="F6" i="14" a="1"/>
  <c r="N6" i="14" l="1"/>
  <c r="U6" i="14" s="1"/>
  <c r="F6" i="14"/>
  <c r="O6" i="14" s="1"/>
  <c r="Y41" i="13"/>
  <c r="X40" i="12"/>
  <c r="Y36" i="13"/>
  <c r="Y30" i="13"/>
  <c r="V5" i="14"/>
  <c r="W5" i="14" s="1"/>
  <c r="Y35" i="14"/>
  <c r="Y42" i="14"/>
  <c r="Y39" i="14"/>
  <c r="Y38" i="14"/>
  <c r="W22" i="14"/>
  <c r="W24" i="14"/>
  <c r="W25" i="14"/>
  <c r="W20" i="14"/>
  <c r="W19" i="14"/>
  <c r="J6" i="14"/>
  <c r="K6" i="14"/>
  <c r="L6" i="14" s="1"/>
  <c r="P6" i="14"/>
  <c r="T6" i="14"/>
  <c r="E7" i="14"/>
  <c r="S7" i="14" s="1"/>
  <c r="Q6" i="14" a="1"/>
  <c r="F7" i="14" a="1"/>
  <c r="N7" i="14" a="1"/>
  <c r="Q6" i="14" l="1"/>
  <c r="F7" i="14"/>
  <c r="N7" i="14"/>
  <c r="U7" i="14" s="1"/>
  <c r="R6" i="14"/>
  <c r="J7" i="14"/>
  <c r="K7" i="14"/>
  <c r="L7" i="14" s="1"/>
  <c r="P7" i="14"/>
  <c r="T7" i="14"/>
  <c r="E9" i="14"/>
  <c r="S9" i="14" s="1"/>
  <c r="N9" i="14" a="1"/>
  <c r="Q7" i="14" a="1"/>
  <c r="F9" i="14" a="1"/>
  <c r="Q7" i="14" l="1"/>
  <c r="F9" i="14"/>
  <c r="N9" i="14"/>
  <c r="O7" i="14"/>
  <c r="V6" i="14"/>
  <c r="W6" i="14" s="1"/>
  <c r="U9" i="14"/>
  <c r="R7" i="14"/>
  <c r="O9" i="14"/>
  <c r="J9" i="14"/>
  <c r="K9" i="14"/>
  <c r="L9" i="14" s="1"/>
  <c r="P9" i="14"/>
  <c r="T9" i="14"/>
  <c r="Q9" i="14" a="1"/>
  <c r="Q9" i="14" l="1"/>
  <c r="V7" i="14"/>
  <c r="W7" i="14" s="1"/>
  <c r="R9" i="14"/>
  <c r="E10" i="14"/>
  <c r="E11" i="14"/>
  <c r="S11" i="14" s="1"/>
  <c r="N10" i="14" a="1"/>
  <c r="F10" i="14" a="1"/>
  <c r="T10" i="14" l="1"/>
  <c r="S10" i="14"/>
  <c r="P10" i="14"/>
  <c r="N10" i="14"/>
  <c r="U10" i="14" s="1"/>
  <c r="F10" i="14"/>
  <c r="J10" i="14"/>
  <c r="K10" i="14"/>
  <c r="R10" i="14" s="1"/>
  <c r="V9" i="14"/>
  <c r="W9" i="14" s="1"/>
  <c r="J11" i="14"/>
  <c r="K11" i="14"/>
  <c r="L11" i="14" s="1"/>
  <c r="P11" i="14"/>
  <c r="T11" i="14"/>
  <c r="E43" i="13"/>
  <c r="E42" i="13"/>
  <c r="E39" i="13"/>
  <c r="E37" i="13"/>
  <c r="E40" i="13"/>
  <c r="E35" i="13"/>
  <c r="E33" i="13"/>
  <c r="E31" i="13"/>
  <c r="E28" i="13"/>
  <c r="Q10" i="14" a="1"/>
  <c r="N11" i="14" a="1"/>
  <c r="F11" i="14" a="1"/>
  <c r="F11" i="14" l="1"/>
  <c r="N11" i="14"/>
  <c r="U11" i="14" s="1"/>
  <c r="U40" i="13"/>
  <c r="M40" i="13"/>
  <c r="U35" i="13"/>
  <c r="U37" i="13"/>
  <c r="M37" i="13"/>
  <c r="U42" i="13"/>
  <c r="M42" i="13"/>
  <c r="U43" i="13"/>
  <c r="M43" i="13"/>
  <c r="U39" i="13"/>
  <c r="M39" i="13"/>
  <c r="U31" i="13"/>
  <c r="M31" i="13"/>
  <c r="U28" i="13"/>
  <c r="U33" i="13"/>
  <c r="M33" i="13"/>
  <c r="Q10" i="14"/>
  <c r="V10" i="14" s="1"/>
  <c r="M28" i="13"/>
  <c r="N28" i="13" s="1"/>
  <c r="L28" i="13"/>
  <c r="M35" i="13"/>
  <c r="L10" i="14"/>
  <c r="V35" i="13"/>
  <c r="V31" i="13"/>
  <c r="T42" i="13"/>
  <c r="R37" i="13"/>
  <c r="L43" i="13"/>
  <c r="R11" i="14"/>
  <c r="O10" i="14"/>
  <c r="V42" i="13"/>
  <c r="L39" i="13"/>
  <c r="R39" i="13"/>
  <c r="V39" i="13"/>
  <c r="R42" i="13"/>
  <c r="T39" i="13"/>
  <c r="N39" i="13"/>
  <c r="R40" i="13"/>
  <c r="V43" i="13"/>
  <c r="R35" i="13"/>
  <c r="L35" i="13"/>
  <c r="L37" i="13"/>
  <c r="L40" i="13"/>
  <c r="R43" i="13"/>
  <c r="V37" i="13"/>
  <c r="V40" i="13"/>
  <c r="L42" i="13"/>
  <c r="R28" i="13"/>
  <c r="V28" i="13"/>
  <c r="L31" i="13"/>
  <c r="R31" i="13"/>
  <c r="L33" i="13"/>
  <c r="R33" i="13"/>
  <c r="V33" i="13"/>
  <c r="P42" i="13" a="1"/>
  <c r="P31" i="13" a="1"/>
  <c r="F35" i="13" a="1"/>
  <c r="P39" i="13" a="1"/>
  <c r="F42" i="13" a="1"/>
  <c r="P37" i="13" a="1"/>
  <c r="P43" i="13" a="1"/>
  <c r="P40" i="13" a="1"/>
  <c r="F39" i="13" a="1"/>
  <c r="P33" i="13" a="1"/>
  <c r="F33" i="13" a="1"/>
  <c r="Q11" i="14" a="1"/>
  <c r="F43" i="13" a="1"/>
  <c r="P35" i="13" a="1"/>
  <c r="F31" i="13" a="1"/>
  <c r="F28" i="13" a="1"/>
  <c r="F40" i="13" a="1"/>
  <c r="F37" i="13" a="1"/>
  <c r="F28" i="13" l="1"/>
  <c r="F43" i="13"/>
  <c r="W28" i="13"/>
  <c r="P43" i="13"/>
  <c r="W43" i="13" s="1"/>
  <c r="P37" i="13"/>
  <c r="W37" i="13" s="1"/>
  <c r="P40" i="13"/>
  <c r="W40" i="13" s="1"/>
  <c r="P39" i="13"/>
  <c r="W39" i="13" s="1"/>
  <c r="F37" i="13"/>
  <c r="F40" i="13"/>
  <c r="F31" i="13"/>
  <c r="P33" i="13"/>
  <c r="W33" i="13" s="1"/>
  <c r="F39" i="13"/>
  <c r="Q39" i="13" s="1"/>
  <c r="F42" i="13"/>
  <c r="Q42" i="13" s="1"/>
  <c r="F33" i="13"/>
  <c r="F35" i="13"/>
  <c r="P31" i="13"/>
  <c r="W31" i="13" s="1"/>
  <c r="P42" i="13"/>
  <c r="W42" i="13" s="1"/>
  <c r="P35" i="13"/>
  <c r="W35" i="13" s="1"/>
  <c r="Q11" i="14"/>
  <c r="V11" i="14" s="1"/>
  <c r="W11" i="14" s="1"/>
  <c r="T28" i="13"/>
  <c r="O11" i="14"/>
  <c r="Q28" i="13"/>
  <c r="W10" i="14"/>
  <c r="N42" i="13"/>
  <c r="T33" i="13"/>
  <c r="N43" i="13"/>
  <c r="T43" i="13"/>
  <c r="N35" i="13"/>
  <c r="T35" i="13"/>
  <c r="N37" i="13"/>
  <c r="T37" i="13"/>
  <c r="N40" i="13"/>
  <c r="T40" i="13"/>
  <c r="N33" i="13"/>
  <c r="N31" i="13"/>
  <c r="T31" i="13"/>
  <c r="Q31" i="13"/>
  <c r="S39" i="13" a="1"/>
  <c r="S43" i="13" a="1"/>
  <c r="S31" i="13" a="1"/>
  <c r="S33" i="13" a="1"/>
  <c r="S42" i="13" a="1"/>
  <c r="S28" i="13" a="1"/>
  <c r="S35" i="13" a="1"/>
  <c r="S40" i="13" a="1"/>
  <c r="S37" i="13" a="1"/>
  <c r="S35" i="13" l="1"/>
  <c r="S42" i="13"/>
  <c r="X42" i="13" s="1"/>
  <c r="Y42" i="13" s="1"/>
  <c r="S33" i="13"/>
  <c r="X33" i="13" s="1"/>
  <c r="S31" i="13"/>
  <c r="X31" i="13" s="1"/>
  <c r="Y31" i="13" s="1"/>
  <c r="S43" i="13"/>
  <c r="X43" i="13" s="1"/>
  <c r="S37" i="13"/>
  <c r="X37" i="13" s="1"/>
  <c r="S39" i="13"/>
  <c r="X39" i="13" s="1"/>
  <c r="Y39" i="13" s="1"/>
  <c r="S40" i="13"/>
  <c r="X40" i="13" s="1"/>
  <c r="S28" i="13"/>
  <c r="X28" i="13" s="1"/>
  <c r="Y28" i="13" s="1"/>
  <c r="Q35" i="13"/>
  <c r="X35" i="13"/>
  <c r="Q40" i="13"/>
  <c r="Q37" i="13"/>
  <c r="Q43" i="13"/>
  <c r="Q33" i="13"/>
  <c r="Y43" i="13" l="1"/>
  <c r="Y35" i="13"/>
  <c r="Y37" i="13"/>
  <c r="Y40" i="13"/>
  <c r="Y33" i="13"/>
  <c r="E23" i="13"/>
  <c r="E21" i="13"/>
  <c r="E22" i="13"/>
  <c r="E20" i="13"/>
  <c r="E18" i="13"/>
  <c r="E17" i="13"/>
  <c r="E16" i="13"/>
  <c r="K16" i="13" l="1"/>
  <c r="R16" i="13" s="1"/>
  <c r="S16" i="13"/>
  <c r="K23" i="13"/>
  <c r="R23" i="13" s="1"/>
  <c r="S23" i="13"/>
  <c r="S22" i="13"/>
  <c r="K22" i="13"/>
  <c r="R22" i="13" s="1"/>
  <c r="S21" i="13"/>
  <c r="K21" i="13"/>
  <c r="R21" i="13" s="1"/>
  <c r="S17" i="13"/>
  <c r="K17" i="13"/>
  <c r="R17" i="13" s="1"/>
  <c r="S18" i="13"/>
  <c r="K18" i="13"/>
  <c r="R18" i="13" s="1"/>
  <c r="K20" i="13"/>
  <c r="R20" i="13" s="1"/>
  <c r="S20" i="13"/>
  <c r="P16" i="13"/>
  <c r="J16" i="13"/>
  <c r="T16" i="13"/>
  <c r="L16" i="13"/>
  <c r="J17" i="13"/>
  <c r="P17" i="13"/>
  <c r="T17" i="13"/>
  <c r="N17" i="13" a="1"/>
  <c r="N22" i="13" a="1"/>
  <c r="N23" i="13" a="1"/>
  <c r="F23" i="13" a="1"/>
  <c r="N21" i="13" a="1"/>
  <c r="F17" i="13" a="1"/>
  <c r="N16" i="13" a="1"/>
  <c r="F21" i="13" a="1"/>
  <c r="F20" i="13" a="1"/>
  <c r="N20" i="13" a="1"/>
  <c r="N18" i="13" a="1"/>
  <c r="F22" i="13" a="1"/>
  <c r="F16" i="13" a="1"/>
  <c r="F18" i="13" a="1"/>
  <c r="F17" i="13" l="1"/>
  <c r="F23" i="13"/>
  <c r="N22" i="13"/>
  <c r="U22" i="13" s="1"/>
  <c r="F18" i="13"/>
  <c r="F16" i="13"/>
  <c r="N18" i="13"/>
  <c r="U18" i="13" s="1"/>
  <c r="F22" i="13"/>
  <c r="N16" i="13"/>
  <c r="U16" i="13" s="1"/>
  <c r="N21" i="13"/>
  <c r="U21" i="13" s="1"/>
  <c r="N23" i="13"/>
  <c r="U23" i="13" s="1"/>
  <c r="N17" i="13"/>
  <c r="U17" i="13" s="1"/>
  <c r="N20" i="13"/>
  <c r="U20" i="13" s="1"/>
  <c r="F20" i="13"/>
  <c r="F21" i="13"/>
  <c r="O16" i="13"/>
  <c r="L17" i="13"/>
  <c r="J18" i="13"/>
  <c r="P18" i="13"/>
  <c r="T18" i="13"/>
  <c r="Q18" i="13" a="1"/>
  <c r="Q17" i="13" a="1"/>
  <c r="Q20" i="13" a="1"/>
  <c r="Q22" i="13" a="1"/>
  <c r="Q23" i="13" a="1"/>
  <c r="Q21" i="13" a="1"/>
  <c r="Q16" i="13" a="1"/>
  <c r="Q21" i="13" l="1"/>
  <c r="Q18" i="13"/>
  <c r="V18" i="13" s="1"/>
  <c r="Q23" i="13"/>
  <c r="Q22" i="13"/>
  <c r="Q20" i="13"/>
  <c r="Q16" i="13"/>
  <c r="V16" i="13" s="1"/>
  <c r="W16" i="13" s="1"/>
  <c r="Q17" i="13"/>
  <c r="V17" i="13" s="1"/>
  <c r="W17" i="13" s="1"/>
  <c r="O18" i="13"/>
  <c r="O17" i="13"/>
  <c r="L18" i="13"/>
  <c r="O20" i="13"/>
  <c r="J20" i="13"/>
  <c r="P20" i="13"/>
  <c r="T20" i="13"/>
  <c r="W18" i="13" l="1"/>
  <c r="L20" i="13"/>
  <c r="V20" i="13"/>
  <c r="W20" i="13" s="1"/>
  <c r="O21" i="13" l="1"/>
  <c r="J21" i="13"/>
  <c r="P21" i="13"/>
  <c r="T21" i="13"/>
  <c r="L21" i="13" l="1"/>
  <c r="V21" i="13"/>
  <c r="W21" i="13" s="1"/>
  <c r="O22" i="13" l="1"/>
  <c r="J22" i="13"/>
  <c r="P22" i="13"/>
  <c r="T22" i="13"/>
  <c r="L22" i="13" l="1"/>
  <c r="V22" i="13"/>
  <c r="W22" i="13" s="1"/>
  <c r="O23" i="13"/>
  <c r="J23" i="13"/>
  <c r="P23" i="13"/>
  <c r="T23" i="13"/>
  <c r="L23" i="13" l="1"/>
  <c r="E11" i="13"/>
  <c r="E10" i="13"/>
  <c r="E9" i="13"/>
  <c r="E7" i="13"/>
  <c r="E6" i="13"/>
  <c r="E5" i="13"/>
  <c r="P5" i="13" l="1"/>
  <c r="K5" i="13"/>
  <c r="S5" i="13"/>
  <c r="S6" i="13"/>
  <c r="K6" i="13"/>
  <c r="R6" i="13" s="1"/>
  <c r="S7" i="13"/>
  <c r="K7" i="13"/>
  <c r="R7" i="13" s="1"/>
  <c r="S9" i="13"/>
  <c r="K9" i="13"/>
  <c r="R9" i="13" s="1"/>
  <c r="S10" i="13"/>
  <c r="K10" i="13"/>
  <c r="R10" i="13" s="1"/>
  <c r="K11" i="13"/>
  <c r="R11" i="13" s="1"/>
  <c r="S11" i="13"/>
  <c r="V23" i="13"/>
  <c r="W23" i="13" s="1"/>
  <c r="J9" i="13"/>
  <c r="T10" i="13"/>
  <c r="T11" i="13"/>
  <c r="J10" i="13"/>
  <c r="P10" i="13"/>
  <c r="P9" i="13"/>
  <c r="T9" i="13"/>
  <c r="J11" i="13"/>
  <c r="P11" i="13"/>
  <c r="J6" i="13"/>
  <c r="F9" i="13" a="1"/>
  <c r="N10" i="13" a="1"/>
  <c r="F11" i="13" a="1"/>
  <c r="N7" i="13" a="1"/>
  <c r="F6" i="13" a="1"/>
  <c r="N5" i="13" a="1"/>
  <c r="F7" i="13" a="1"/>
  <c r="F5" i="13" a="1"/>
  <c r="N6" i="13" a="1"/>
  <c r="N11" i="13" a="1"/>
  <c r="F10" i="13" a="1"/>
  <c r="N6" i="13" l="1"/>
  <c r="U6" i="13" s="1"/>
  <c r="N7" i="13"/>
  <c r="U7" i="13" s="1"/>
  <c r="N10" i="13"/>
  <c r="U10" i="13" s="1"/>
  <c r="F10" i="13"/>
  <c r="F7" i="13"/>
  <c r="N5" i="13"/>
  <c r="U5" i="13" s="1"/>
  <c r="F6" i="13"/>
  <c r="O6" i="13" s="1"/>
  <c r="N11" i="13"/>
  <c r="U11" i="13" s="1"/>
  <c r="F5" i="13"/>
  <c r="F11" i="13"/>
  <c r="U9" i="13"/>
  <c r="F9" i="13"/>
  <c r="O9" i="13" s="1"/>
  <c r="L5" i="13"/>
  <c r="R5" i="13"/>
  <c r="O5" i="13"/>
  <c r="L6" i="13"/>
  <c r="L10" i="13"/>
  <c r="L9" i="13"/>
  <c r="L11" i="13"/>
  <c r="O10" i="13"/>
  <c r="P6" i="13"/>
  <c r="Q6" i="13" a="1"/>
  <c r="Q10" i="13" a="1"/>
  <c r="Q7" i="13" a="1"/>
  <c r="Q9" i="13" a="1"/>
  <c r="Q11" i="13" a="1"/>
  <c r="Q5" i="13" a="1"/>
  <c r="Q7" i="13" l="1"/>
  <c r="Q9" i="13"/>
  <c r="Q10" i="13"/>
  <c r="Q6" i="13"/>
  <c r="Q11" i="13"/>
  <c r="V11" i="13" s="1"/>
  <c r="Q5" i="13"/>
  <c r="V10" i="13"/>
  <c r="W10" i="13" s="1"/>
  <c r="V9" i="13"/>
  <c r="W9" i="13" s="1"/>
  <c r="O11" i="13"/>
  <c r="T6" i="13"/>
  <c r="V6" i="13" l="1"/>
  <c r="W6" i="13" s="1"/>
  <c r="W11" i="13"/>
  <c r="J7" i="13"/>
  <c r="O7" i="13"/>
  <c r="P7" i="13"/>
  <c r="T7" i="13"/>
  <c r="L7" i="13" l="1"/>
  <c r="T5" i="13"/>
  <c r="J5" i="13"/>
  <c r="V7" i="13" l="1"/>
  <c r="W7" i="13" s="1"/>
  <c r="V5" i="13" l="1"/>
  <c r="E35" i="12"/>
  <c r="G35" i="12"/>
  <c r="L35" i="12" s="1"/>
  <c r="E30" i="12"/>
  <c r="E29" i="12"/>
  <c r="E28" i="12"/>
  <c r="E27" i="12"/>
  <c r="E26" i="12"/>
  <c r="E25" i="12"/>
  <c r="E24" i="12"/>
  <c r="E23" i="12"/>
  <c r="G30" i="12"/>
  <c r="K30" i="12" s="1"/>
  <c r="K29" i="12"/>
  <c r="K28" i="12"/>
  <c r="K27" i="12"/>
  <c r="G26" i="12"/>
  <c r="K26" i="12" s="1"/>
  <c r="K25" i="12"/>
  <c r="K24" i="12"/>
  <c r="K23" i="12"/>
  <c r="E21" i="12"/>
  <c r="E20" i="12"/>
  <c r="E19" i="12"/>
  <c r="E18" i="12"/>
  <c r="G21" i="12"/>
  <c r="K21" i="12" s="1"/>
  <c r="K20" i="12"/>
  <c r="K19" i="12"/>
  <c r="K18" i="12"/>
  <c r="E13" i="12"/>
  <c r="E12" i="12"/>
  <c r="E11" i="12"/>
  <c r="E10" i="12"/>
  <c r="G13" i="12"/>
  <c r="K13" i="12" s="1"/>
  <c r="K12" i="12"/>
  <c r="K11" i="12"/>
  <c r="K10" i="12"/>
  <c r="E8" i="12"/>
  <c r="G8" i="12"/>
  <c r="K8" i="12" s="1"/>
  <c r="E7" i="12"/>
  <c r="E6" i="12"/>
  <c r="K7" i="12"/>
  <c r="K6" i="12"/>
  <c r="E5" i="12"/>
  <c r="M30" i="12" a="1"/>
  <c r="M27" i="12" a="1"/>
  <c r="M12" i="12" a="1"/>
  <c r="M29" i="12" a="1"/>
  <c r="M21" i="12" a="1"/>
  <c r="M18" i="12" a="1"/>
  <c r="M19" i="12" a="1"/>
  <c r="M20" i="12" a="1"/>
  <c r="M25" i="12" a="1"/>
  <c r="M13" i="12" a="1"/>
  <c r="M10" i="12" a="1"/>
  <c r="M24" i="12" a="1"/>
  <c r="M11" i="12" a="1"/>
  <c r="O35" i="12" a="1"/>
  <c r="M26" i="12" a="1"/>
  <c r="M28" i="12" a="1"/>
  <c r="M23" i="12" a="1"/>
  <c r="M10" i="12" l="1"/>
  <c r="M18" i="12"/>
  <c r="M27" i="12"/>
  <c r="M28" i="12"/>
  <c r="M20" i="12"/>
  <c r="M29" i="12"/>
  <c r="M19" i="12"/>
  <c r="M12" i="12"/>
  <c r="M13" i="12"/>
  <c r="M21" i="12"/>
  <c r="M30" i="12"/>
  <c r="M26" i="12"/>
  <c r="M23" i="12"/>
  <c r="T5" i="12"/>
  <c r="M24" i="12"/>
  <c r="O35" i="12"/>
  <c r="M11" i="12"/>
  <c r="M25" i="12"/>
  <c r="R6" i="12"/>
  <c r="Q6" i="12"/>
  <c r="R27" i="12"/>
  <c r="R26" i="12"/>
  <c r="R29" i="12"/>
  <c r="R30" i="12"/>
  <c r="R11" i="12"/>
  <c r="Q11" i="12"/>
  <c r="R28" i="12"/>
  <c r="R8" i="12"/>
  <c r="R23" i="12"/>
  <c r="R10" i="12"/>
  <c r="R7" i="12"/>
  <c r="Q7" i="12"/>
  <c r="R19" i="12"/>
  <c r="Q19" i="12"/>
  <c r="R12" i="12"/>
  <c r="R13" i="12"/>
  <c r="R18" i="12"/>
  <c r="R20" i="12"/>
  <c r="Q20" i="12"/>
  <c r="R21" i="12"/>
  <c r="O5" i="12"/>
  <c r="Q5" i="12"/>
  <c r="R5" i="12"/>
  <c r="J5" i="12"/>
  <c r="R24" i="12"/>
  <c r="Q24" i="12"/>
  <c r="R25" i="12"/>
  <c r="Q25" i="12"/>
  <c r="Q18" i="12"/>
  <c r="Q28" i="12"/>
  <c r="Q26" i="12"/>
  <c r="Q10" i="12"/>
  <c r="Q27" i="12"/>
  <c r="Q12" i="12"/>
  <c r="Q29" i="12"/>
  <c r="Q8" i="12"/>
  <c r="Q13" i="12"/>
  <c r="Q21" i="12"/>
  <c r="Q30" i="12"/>
  <c r="Q23" i="12"/>
  <c r="S35" i="12"/>
  <c r="I26" i="12"/>
  <c r="S26" i="12" s="1"/>
  <c r="I27" i="12"/>
  <c r="S27" i="12" s="1"/>
  <c r="J18" i="12"/>
  <c r="J19" i="12"/>
  <c r="J28" i="12"/>
  <c r="I20" i="12"/>
  <c r="S20" i="12" s="1"/>
  <c r="O29" i="12"/>
  <c r="I8" i="12"/>
  <c r="S8" i="12" s="1"/>
  <c r="I21" i="12"/>
  <c r="S21" i="12" s="1"/>
  <c r="I30" i="12"/>
  <c r="S30" i="12" s="1"/>
  <c r="J23" i="12"/>
  <c r="J24" i="12"/>
  <c r="I25" i="12"/>
  <c r="S25" i="12" s="1"/>
  <c r="I12" i="12"/>
  <c r="S12" i="12" s="1"/>
  <c r="J7" i="12"/>
  <c r="I13" i="12"/>
  <c r="S13" i="12" s="1"/>
  <c r="J10" i="12"/>
  <c r="J12" i="12"/>
  <c r="O6" i="12"/>
  <c r="W5" i="13"/>
  <c r="M35" i="12"/>
  <c r="Q35" i="12"/>
  <c r="K35" i="12"/>
  <c r="U35" i="12" s="1"/>
  <c r="J29" i="12"/>
  <c r="J6" i="12"/>
  <c r="I23" i="12"/>
  <c r="S23" i="12" s="1"/>
  <c r="J21" i="12"/>
  <c r="J20" i="12"/>
  <c r="J25" i="12"/>
  <c r="J13" i="12"/>
  <c r="I29" i="12"/>
  <c r="S29" i="12" s="1"/>
  <c r="I7" i="12"/>
  <c r="S7" i="12" s="1"/>
  <c r="J26" i="12"/>
  <c r="J30" i="12"/>
  <c r="O27" i="12"/>
  <c r="J27" i="12"/>
  <c r="O28" i="12"/>
  <c r="I28" i="12"/>
  <c r="S28" i="12" s="1"/>
  <c r="O30" i="12"/>
  <c r="O26" i="12"/>
  <c r="O24" i="12"/>
  <c r="I24" i="12"/>
  <c r="S24" i="12" s="1"/>
  <c r="O25" i="12"/>
  <c r="O23" i="12"/>
  <c r="O21" i="12"/>
  <c r="I19" i="12"/>
  <c r="S19" i="12" s="1"/>
  <c r="O19" i="12"/>
  <c r="O20" i="12"/>
  <c r="I18" i="12"/>
  <c r="S18" i="12" s="1"/>
  <c r="O18" i="12"/>
  <c r="O13" i="12"/>
  <c r="O11" i="12"/>
  <c r="I11" i="12"/>
  <c r="S11" i="12" s="1"/>
  <c r="J11" i="12"/>
  <c r="O12" i="12"/>
  <c r="I10" i="12"/>
  <c r="S10" i="12" s="1"/>
  <c r="O10" i="12"/>
  <c r="J8" i="12"/>
  <c r="O8" i="12"/>
  <c r="I6" i="12"/>
  <c r="S6" i="12" s="1"/>
  <c r="O7" i="12"/>
  <c r="I5" i="12"/>
  <c r="S5" i="12" s="1"/>
  <c r="F29" i="12" a="1"/>
  <c r="F25" i="12" a="1"/>
  <c r="F12" i="12" a="1"/>
  <c r="F23" i="12" a="1"/>
  <c r="F20" i="12" a="1"/>
  <c r="F26" i="12" a="1"/>
  <c r="F28" i="12" a="1"/>
  <c r="F13" i="12" a="1"/>
  <c r="F5" i="12" a="1"/>
  <c r="F6" i="12" a="1"/>
  <c r="F21" i="12" a="1"/>
  <c r="F24" i="12" a="1"/>
  <c r="F30" i="12" a="1"/>
  <c r="F27" i="12" a="1"/>
  <c r="F8" i="12" a="1"/>
  <c r="F19" i="12" a="1"/>
  <c r="F35" i="12" a="1"/>
  <c r="F11" i="12" a="1"/>
  <c r="F18" i="12" a="1"/>
  <c r="F7" i="12" a="1"/>
  <c r="F10" i="12" a="1"/>
  <c r="F19" i="12" l="1"/>
  <c r="F5" i="12"/>
  <c r="N5" i="12" s="1"/>
  <c r="V35" i="12"/>
  <c r="F10" i="12"/>
  <c r="F11" i="12"/>
  <c r="T29" i="12"/>
  <c r="F27" i="12"/>
  <c r="F20" i="12"/>
  <c r="F12" i="12"/>
  <c r="T24" i="12"/>
  <c r="T20" i="12"/>
  <c r="F35" i="12"/>
  <c r="T12" i="12"/>
  <c r="F7" i="12"/>
  <c r="F23" i="12"/>
  <c r="F28" i="12"/>
  <c r="T7" i="12"/>
  <c r="F30" i="12"/>
  <c r="F21" i="12"/>
  <c r="T30" i="12"/>
  <c r="F26" i="12"/>
  <c r="T6" i="12"/>
  <c r="F29" i="12"/>
  <c r="F25" i="12"/>
  <c r="T21" i="12"/>
  <c r="T18" i="12"/>
  <c r="F13" i="12"/>
  <c r="T26" i="12"/>
  <c r="T11" i="12"/>
  <c r="F24" i="12"/>
  <c r="F18" i="12"/>
  <c r="T13" i="12"/>
  <c r="T19" i="12"/>
  <c r="T10" i="12"/>
  <c r="F8" i="12"/>
  <c r="F6" i="12"/>
  <c r="T27" i="12"/>
  <c r="T28" i="12"/>
  <c r="T25" i="12"/>
  <c r="T23" i="12"/>
  <c r="T8" i="12"/>
  <c r="N8" i="12"/>
  <c r="K40" i="2"/>
  <c r="K41" i="2"/>
  <c r="K42" i="2"/>
  <c r="K47" i="2"/>
  <c r="K48" i="2"/>
  <c r="K49" i="2"/>
  <c r="K50" i="2"/>
  <c r="K55" i="2"/>
  <c r="K56" i="2"/>
  <c r="K57" i="2"/>
  <c r="K58" i="2"/>
  <c r="K39" i="2"/>
  <c r="K41" i="1"/>
  <c r="K42" i="1"/>
  <c r="K47" i="1"/>
  <c r="K48" i="1"/>
  <c r="K49" i="1"/>
  <c r="K50" i="1"/>
  <c r="K55" i="1"/>
  <c r="K56" i="1"/>
  <c r="K57" i="1"/>
  <c r="K58" i="1"/>
  <c r="K7" i="1"/>
  <c r="K13" i="1"/>
  <c r="K14" i="1"/>
  <c r="K15" i="1"/>
  <c r="K16" i="1"/>
  <c r="K21" i="1"/>
  <c r="K22" i="1"/>
  <c r="K23" i="1"/>
  <c r="K24" i="1"/>
  <c r="K5" i="1"/>
  <c r="K39" i="1"/>
  <c r="K6" i="2"/>
  <c r="K7" i="2"/>
  <c r="K13" i="2"/>
  <c r="K14" i="2"/>
  <c r="K15" i="2"/>
  <c r="K21" i="2"/>
  <c r="K22" i="2"/>
  <c r="K23" i="2"/>
  <c r="K24" i="2"/>
  <c r="K5" i="2"/>
  <c r="E5" i="1"/>
  <c r="E5" i="10"/>
  <c r="E22" i="9"/>
  <c r="E55" i="10"/>
  <c r="E26" i="9"/>
  <c r="E30" i="9"/>
  <c r="E23" i="9"/>
  <c r="E24" i="9"/>
  <c r="E31" i="8"/>
  <c r="E32" i="8"/>
  <c r="E33" i="8"/>
  <c r="E27" i="8"/>
  <c r="E28" i="8"/>
  <c r="E29" i="8"/>
  <c r="E23" i="8"/>
  <c r="E24" i="8"/>
  <c r="E25" i="8"/>
  <c r="E5" i="8"/>
  <c r="E13" i="8"/>
  <c r="E9" i="8"/>
  <c r="E22" i="8"/>
  <c r="E27" i="7"/>
  <c r="E26" i="7"/>
  <c r="E7" i="5"/>
  <c r="E6" i="5"/>
  <c r="E21" i="4"/>
  <c r="E20" i="4"/>
  <c r="P24" i="12" a="1"/>
  <c r="P26" i="12" a="1"/>
  <c r="R35" i="12" a="1"/>
  <c r="P27" i="12" a="1"/>
  <c r="P13" i="12" a="1"/>
  <c r="P18" i="12" a="1"/>
  <c r="P29" i="12" a="1"/>
  <c r="P28" i="12" a="1"/>
  <c r="P12" i="12" a="1"/>
  <c r="P7" i="12" a="1"/>
  <c r="P30" i="12" a="1"/>
  <c r="P10" i="12" a="1"/>
  <c r="P5" i="12" a="1"/>
  <c r="P6" i="12" a="1"/>
  <c r="P25" i="12" a="1"/>
  <c r="P23" i="12" a="1"/>
  <c r="P21" i="12" a="1"/>
  <c r="P11" i="12" a="1"/>
  <c r="P20" i="12" a="1"/>
  <c r="P8" i="12" a="1"/>
  <c r="P19" i="12" a="1"/>
  <c r="P21" i="12" l="1"/>
  <c r="P23" i="12"/>
  <c r="P20" i="12"/>
  <c r="P25" i="12"/>
  <c r="U25" i="12" s="1"/>
  <c r="P30" i="12"/>
  <c r="P18" i="12"/>
  <c r="U18" i="12" s="1"/>
  <c r="P29" i="12"/>
  <c r="U29" i="12" s="1"/>
  <c r="R35" i="12"/>
  <c r="W35" i="12" s="1"/>
  <c r="P11" i="12"/>
  <c r="P10" i="12"/>
  <c r="P7" i="12"/>
  <c r="P26" i="12"/>
  <c r="U26" i="12" s="1"/>
  <c r="P27" i="12"/>
  <c r="U27" i="12" s="1"/>
  <c r="P24" i="12"/>
  <c r="U24" i="12" s="1"/>
  <c r="P6" i="12"/>
  <c r="U6" i="12" s="1"/>
  <c r="P5" i="12"/>
  <c r="U5" i="12" s="1"/>
  <c r="V5" i="12" s="1"/>
  <c r="P8" i="12"/>
  <c r="P13" i="12"/>
  <c r="P28" i="12"/>
  <c r="U28" i="12" s="1"/>
  <c r="P12" i="12"/>
  <c r="U12" i="12" s="1"/>
  <c r="P19" i="12"/>
  <c r="U19" i="12" s="1"/>
  <c r="N21" i="12"/>
  <c r="N6" i="12"/>
  <c r="M55" i="10"/>
  <c r="N55" i="10" s="1"/>
  <c r="L23" i="9"/>
  <c r="K30" i="9"/>
  <c r="L30" i="9" s="1"/>
  <c r="K26" i="9"/>
  <c r="L26" i="9" s="1"/>
  <c r="L24" i="9"/>
  <c r="K22" i="9"/>
  <c r="L22" i="9" s="1"/>
  <c r="L27" i="7"/>
  <c r="J7" i="5"/>
  <c r="J6" i="5"/>
  <c r="J21" i="4"/>
  <c r="J20" i="4"/>
  <c r="I5" i="1"/>
  <c r="U11" i="12"/>
  <c r="U13" i="12"/>
  <c r="U10" i="12"/>
  <c r="N11" i="12"/>
  <c r="N13" i="12"/>
  <c r="N10" i="12"/>
  <c r="N12" i="12"/>
  <c r="L24" i="8"/>
  <c r="L29" i="8"/>
  <c r="L25" i="8"/>
  <c r="K28" i="8"/>
  <c r="K31" i="8"/>
  <c r="K13" i="8"/>
  <c r="L33" i="8"/>
  <c r="U21" i="12"/>
  <c r="P35" i="12"/>
  <c r="U30" i="12"/>
  <c r="N30" i="12"/>
  <c r="N28" i="12"/>
  <c r="N29" i="12"/>
  <c r="N27" i="12"/>
  <c r="N26" i="12"/>
  <c r="N25" i="12"/>
  <c r="N24" i="12"/>
  <c r="U23" i="12"/>
  <c r="N23" i="12"/>
  <c r="U20" i="12"/>
  <c r="N20" i="12"/>
  <c r="N19" i="12"/>
  <c r="N18" i="12"/>
  <c r="U8" i="12"/>
  <c r="V8" i="12" s="1"/>
  <c r="U7" i="12"/>
  <c r="N7" i="12"/>
  <c r="J5" i="1"/>
  <c r="K21" i="4"/>
  <c r="L21" i="4" s="1"/>
  <c r="K6" i="5"/>
  <c r="L6" i="5" s="1"/>
  <c r="K32" i="8"/>
  <c r="L26" i="7"/>
  <c r="M26" i="7"/>
  <c r="N26" i="7" s="1"/>
  <c r="K23" i="8"/>
  <c r="M5" i="10"/>
  <c r="N5" i="10" s="1"/>
  <c r="K20" i="4"/>
  <c r="L20" i="4" s="1"/>
  <c r="K22" i="8"/>
  <c r="K5" i="8"/>
  <c r="L5" i="8" s="1"/>
  <c r="M27" i="7"/>
  <c r="N27" i="7" s="1"/>
  <c r="K9" i="8"/>
  <c r="K27" i="8"/>
  <c r="K7" i="5"/>
  <c r="L7" i="5" s="1"/>
  <c r="E14" i="4"/>
  <c r="E13" i="4"/>
  <c r="E7" i="4"/>
  <c r="E6" i="4"/>
  <c r="E5" i="7"/>
  <c r="E7" i="8"/>
  <c r="E6" i="8"/>
  <c r="E59" i="10"/>
  <c r="E60" i="10"/>
  <c r="E61" i="10"/>
  <c r="E62" i="10"/>
  <c r="E58" i="10"/>
  <c r="E57" i="10"/>
  <c r="E56" i="10"/>
  <c r="E51" i="10"/>
  <c r="E52" i="10"/>
  <c r="E53" i="10"/>
  <c r="E50" i="10"/>
  <c r="E49" i="10"/>
  <c r="E48" i="10"/>
  <c r="E47" i="10"/>
  <c r="E43" i="10"/>
  <c r="E44" i="10"/>
  <c r="E45" i="10"/>
  <c r="E42" i="10"/>
  <c r="E41" i="10"/>
  <c r="E40" i="10"/>
  <c r="E39" i="10"/>
  <c r="E22" i="10"/>
  <c r="E23" i="10"/>
  <c r="E24" i="10"/>
  <c r="E25" i="10"/>
  <c r="E26" i="10"/>
  <c r="E27" i="10"/>
  <c r="E21" i="10"/>
  <c r="E14" i="10"/>
  <c r="E15" i="10"/>
  <c r="E17" i="10"/>
  <c r="E18" i="10"/>
  <c r="E13" i="10"/>
  <c r="E6" i="10"/>
  <c r="E9" i="10"/>
  <c r="E33" i="9"/>
  <c r="E32" i="9"/>
  <c r="E31" i="9"/>
  <c r="J30" i="9"/>
  <c r="E29" i="9"/>
  <c r="E28" i="9"/>
  <c r="E27" i="9"/>
  <c r="E16" i="9"/>
  <c r="E15" i="9"/>
  <c r="E14" i="9"/>
  <c r="E13" i="9"/>
  <c r="E11" i="9"/>
  <c r="E10" i="9"/>
  <c r="E9" i="9"/>
  <c r="E6" i="9"/>
  <c r="E5" i="9"/>
  <c r="E30" i="8"/>
  <c r="J31" i="8"/>
  <c r="J32" i="8"/>
  <c r="E26" i="8"/>
  <c r="J27" i="8"/>
  <c r="J28" i="8"/>
  <c r="J23" i="8"/>
  <c r="J13" i="8"/>
  <c r="E14" i="8"/>
  <c r="E15" i="8"/>
  <c r="E16" i="8"/>
  <c r="J9" i="8"/>
  <c r="E10" i="8"/>
  <c r="E11" i="8"/>
  <c r="E12" i="8"/>
  <c r="E61" i="7"/>
  <c r="E62" i="7"/>
  <c r="E63" i="7"/>
  <c r="E64" i="7"/>
  <c r="E60" i="7"/>
  <c r="E59" i="7"/>
  <c r="E58" i="7"/>
  <c r="E57" i="7"/>
  <c r="E53" i="7"/>
  <c r="E54" i="7"/>
  <c r="E55" i="7"/>
  <c r="E52" i="7"/>
  <c r="E51" i="7"/>
  <c r="E50" i="7"/>
  <c r="E49" i="7"/>
  <c r="E45" i="7"/>
  <c r="E46" i="7"/>
  <c r="E47" i="7"/>
  <c r="E44" i="7"/>
  <c r="E43" i="7"/>
  <c r="E42" i="7"/>
  <c r="E41" i="7"/>
  <c r="E22" i="7"/>
  <c r="E23" i="7"/>
  <c r="E24" i="7"/>
  <c r="E25" i="7"/>
  <c r="E28" i="7"/>
  <c r="E29" i="7"/>
  <c r="E14" i="7"/>
  <c r="E15" i="7"/>
  <c r="E17" i="7"/>
  <c r="E18" i="7"/>
  <c r="E6" i="7"/>
  <c r="E21" i="7"/>
  <c r="E13" i="7"/>
  <c r="E28" i="5"/>
  <c r="E24" i="5"/>
  <c r="E33" i="5"/>
  <c r="E34" i="5"/>
  <c r="E35" i="5"/>
  <c r="E32" i="5"/>
  <c r="E29" i="5"/>
  <c r="E30" i="5"/>
  <c r="E31" i="5"/>
  <c r="E25" i="5"/>
  <c r="E26" i="5"/>
  <c r="E18" i="5"/>
  <c r="E17" i="5"/>
  <c r="E16" i="5"/>
  <c r="E15" i="5"/>
  <c r="E13" i="5"/>
  <c r="E12" i="5"/>
  <c r="E11" i="5"/>
  <c r="E8" i="5"/>
  <c r="E5" i="5"/>
  <c r="E48" i="4"/>
  <c r="E49" i="4"/>
  <c r="E50" i="4"/>
  <c r="E47" i="4"/>
  <c r="E44" i="4"/>
  <c r="E45" i="4"/>
  <c r="E46" i="4"/>
  <c r="E43" i="4"/>
  <c r="E40" i="4"/>
  <c r="E41" i="4"/>
  <c r="E42" i="4"/>
  <c r="E39" i="4"/>
  <c r="E18" i="4"/>
  <c r="E19" i="4"/>
  <c r="E22" i="4"/>
  <c r="E17" i="4"/>
  <c r="E12" i="4"/>
  <c r="E15" i="4"/>
  <c r="E16" i="4"/>
  <c r="E11" i="4"/>
  <c r="E8" i="4"/>
  <c r="E9" i="4"/>
  <c r="E5" i="4"/>
  <c r="E47" i="1"/>
  <c r="E59" i="3"/>
  <c r="E60" i="3"/>
  <c r="E61" i="3"/>
  <c r="E62" i="3"/>
  <c r="E58" i="3"/>
  <c r="E57" i="3"/>
  <c r="E56" i="3"/>
  <c r="E51" i="3"/>
  <c r="E52" i="3"/>
  <c r="E53" i="3"/>
  <c r="E50" i="3"/>
  <c r="E49" i="3"/>
  <c r="E48" i="3"/>
  <c r="E47" i="3"/>
  <c r="E43" i="3"/>
  <c r="E44" i="3"/>
  <c r="E41" i="3"/>
  <c r="E40" i="3"/>
  <c r="E39" i="3"/>
  <c r="G62" i="3"/>
  <c r="G61" i="3"/>
  <c r="G60" i="3"/>
  <c r="G59" i="3"/>
  <c r="G58" i="3"/>
  <c r="G57" i="3"/>
  <c r="G56" i="3"/>
  <c r="G53" i="3"/>
  <c r="G52" i="3"/>
  <c r="G51" i="3"/>
  <c r="G50" i="3"/>
  <c r="G49" i="3"/>
  <c r="G48" i="3"/>
  <c r="G47" i="3"/>
  <c r="G44" i="3"/>
  <c r="G43" i="3"/>
  <c r="G41" i="3"/>
  <c r="G40" i="3"/>
  <c r="G39" i="3"/>
  <c r="E21" i="3"/>
  <c r="E22" i="3"/>
  <c r="E23" i="3"/>
  <c r="E25" i="3"/>
  <c r="E26" i="3"/>
  <c r="G26" i="3"/>
  <c r="G25" i="3"/>
  <c r="G23" i="3"/>
  <c r="G22" i="3"/>
  <c r="G21" i="3"/>
  <c r="G13" i="3"/>
  <c r="G14" i="3"/>
  <c r="G15" i="3"/>
  <c r="G17" i="3"/>
  <c r="E14" i="3"/>
  <c r="E15" i="3"/>
  <c r="E17" i="3"/>
  <c r="E13" i="3"/>
  <c r="E6" i="3"/>
  <c r="E5" i="3"/>
  <c r="G5" i="3"/>
  <c r="G6" i="3"/>
  <c r="E47" i="2"/>
  <c r="E39" i="2"/>
  <c r="G62" i="2"/>
  <c r="K62" i="2" s="1"/>
  <c r="E62" i="2"/>
  <c r="G61" i="2"/>
  <c r="K61" i="2" s="1"/>
  <c r="E61" i="2"/>
  <c r="G60" i="2"/>
  <c r="K60" i="2" s="1"/>
  <c r="E60" i="2"/>
  <c r="G59" i="2"/>
  <c r="K59" i="2" s="1"/>
  <c r="E59" i="2"/>
  <c r="E58" i="2"/>
  <c r="E57" i="2"/>
  <c r="E56" i="2"/>
  <c r="E55" i="2"/>
  <c r="G54" i="2"/>
  <c r="K54" i="2" s="1"/>
  <c r="E54" i="2"/>
  <c r="G53" i="2"/>
  <c r="K53" i="2" s="1"/>
  <c r="E53" i="2"/>
  <c r="G52" i="2"/>
  <c r="K52" i="2" s="1"/>
  <c r="E52" i="2"/>
  <c r="G51" i="2"/>
  <c r="K51" i="2" s="1"/>
  <c r="E51" i="2"/>
  <c r="E50" i="2"/>
  <c r="E49" i="2"/>
  <c r="E48" i="2"/>
  <c r="G45" i="2"/>
  <c r="K45" i="2" s="1"/>
  <c r="E45" i="2"/>
  <c r="G44" i="2"/>
  <c r="K44" i="2" s="1"/>
  <c r="E44" i="2"/>
  <c r="G43" i="2"/>
  <c r="K43" i="2" s="1"/>
  <c r="E43" i="2"/>
  <c r="E42" i="2"/>
  <c r="E41" i="2"/>
  <c r="E40" i="2"/>
  <c r="E5" i="2"/>
  <c r="G27" i="2"/>
  <c r="K27" i="2" s="1"/>
  <c r="E27" i="2"/>
  <c r="G26" i="2"/>
  <c r="K26" i="2" s="1"/>
  <c r="E26" i="2"/>
  <c r="G25" i="2"/>
  <c r="K25" i="2" s="1"/>
  <c r="E25" i="2"/>
  <c r="E24" i="2"/>
  <c r="E23" i="2"/>
  <c r="E22" i="2"/>
  <c r="E21" i="2"/>
  <c r="G18" i="2"/>
  <c r="K18" i="2" s="1"/>
  <c r="E18" i="2"/>
  <c r="G17" i="2"/>
  <c r="K17" i="2" s="1"/>
  <c r="E17" i="2"/>
  <c r="E15" i="2"/>
  <c r="E14" i="2"/>
  <c r="E13" i="2"/>
  <c r="G9" i="2"/>
  <c r="K9" i="2" s="1"/>
  <c r="E9" i="2"/>
  <c r="E7" i="2"/>
  <c r="E6" i="2"/>
  <c r="E55" i="1"/>
  <c r="E39" i="1"/>
  <c r="E13" i="1"/>
  <c r="E22" i="1"/>
  <c r="E21" i="1"/>
  <c r="E56" i="1"/>
  <c r="E57" i="1"/>
  <c r="E58" i="1"/>
  <c r="E59" i="1"/>
  <c r="E60" i="1"/>
  <c r="E61" i="1"/>
  <c r="E62" i="1"/>
  <c r="E48" i="1"/>
  <c r="E49" i="1"/>
  <c r="E50" i="1"/>
  <c r="E51" i="1"/>
  <c r="E52" i="1"/>
  <c r="E53" i="1"/>
  <c r="E54" i="1"/>
  <c r="E40" i="1"/>
  <c r="E41" i="1"/>
  <c r="E42" i="1"/>
  <c r="E43" i="1"/>
  <c r="E44" i="1"/>
  <c r="E45" i="1"/>
  <c r="E46" i="1"/>
  <c r="G62" i="1"/>
  <c r="K62" i="1" s="1"/>
  <c r="G61" i="1"/>
  <c r="K61" i="1" s="1"/>
  <c r="G60" i="1"/>
  <c r="K60" i="1" s="1"/>
  <c r="G59" i="1"/>
  <c r="K59" i="1" s="1"/>
  <c r="G54" i="1"/>
  <c r="K54" i="1" s="1"/>
  <c r="G53" i="1"/>
  <c r="K53" i="1" s="1"/>
  <c r="G52" i="1"/>
  <c r="K52" i="1" s="1"/>
  <c r="G51" i="1"/>
  <c r="K51" i="1" s="1"/>
  <c r="G46" i="1"/>
  <c r="K46" i="1" s="1"/>
  <c r="G45" i="1"/>
  <c r="K45" i="1" s="1"/>
  <c r="G44" i="1"/>
  <c r="K44" i="1" s="1"/>
  <c r="G43" i="1"/>
  <c r="K43" i="1" s="1"/>
  <c r="E23" i="1"/>
  <c r="E24" i="1"/>
  <c r="E25" i="1"/>
  <c r="E26" i="1"/>
  <c r="E27" i="1"/>
  <c r="E28" i="1"/>
  <c r="E18" i="1"/>
  <c r="E19" i="1"/>
  <c r="G28" i="1"/>
  <c r="K28" i="1" s="1"/>
  <c r="G27" i="1"/>
  <c r="K27" i="1" s="1"/>
  <c r="G26" i="1"/>
  <c r="K26" i="1" s="1"/>
  <c r="G25" i="1"/>
  <c r="K25" i="1" s="1"/>
  <c r="E17" i="1"/>
  <c r="G19" i="1"/>
  <c r="K19" i="1" s="1"/>
  <c r="G18" i="1"/>
  <c r="K18" i="1" s="1"/>
  <c r="G17" i="1"/>
  <c r="K17" i="1" s="1"/>
  <c r="E14" i="1"/>
  <c r="E15" i="1"/>
  <c r="E16" i="1"/>
  <c r="G10" i="1"/>
  <c r="K10" i="1" s="1"/>
  <c r="G9" i="1"/>
  <c r="K9" i="1" s="1"/>
  <c r="E10" i="1"/>
  <c r="E9" i="1"/>
  <c r="E6" i="1"/>
  <c r="E7" i="1"/>
  <c r="F5" i="1" a="1"/>
  <c r="P5" i="10" a="1"/>
  <c r="F6" i="5" a="1"/>
  <c r="F13" i="3" a="1"/>
  <c r="N33" i="8" a="1"/>
  <c r="F26" i="7" a="1"/>
  <c r="N13" i="8" a="1"/>
  <c r="F21" i="3" a="1"/>
  <c r="F23" i="9" a="1"/>
  <c r="M5" i="1" a="1"/>
  <c r="N24" i="9" a="1"/>
  <c r="F25" i="3" a="1"/>
  <c r="F52" i="3" a="1"/>
  <c r="F29" i="8" a="1"/>
  <c r="N30" i="9" a="1"/>
  <c r="N9" i="8" a="1"/>
  <c r="N24" i="8" a="1"/>
  <c r="F17" i="3" a="1"/>
  <c r="N22" i="9" a="1"/>
  <c r="F22" i="8" a="1"/>
  <c r="F47" i="3" a="1"/>
  <c r="F28" i="8" a="1"/>
  <c r="N23" i="9" a="1"/>
  <c r="F27" i="7" a="1"/>
  <c r="N5" i="8" a="1"/>
  <c r="F23" i="3" a="1"/>
  <c r="F7" i="5" a="1"/>
  <c r="N29" i="8" a="1"/>
  <c r="F20" i="4" a="1"/>
  <c r="F31" i="8" a="1"/>
  <c r="F53" i="3" a="1"/>
  <c r="F33" i="8" a="1"/>
  <c r="F24" i="8" a="1"/>
  <c r="N27" i="8" a="1"/>
  <c r="N28" i="8" a="1"/>
  <c r="F26" i="9" a="1"/>
  <c r="N6" i="5" a="1"/>
  <c r="F6" i="3" a="1"/>
  <c r="F22" i="9" a="1"/>
  <c r="N7" i="5" a="1"/>
  <c r="F49" i="3" a="1"/>
  <c r="F23" i="8" a="1"/>
  <c r="M6" i="2" a="1"/>
  <c r="F50" i="3" a="1"/>
  <c r="F13" i="8" a="1"/>
  <c r="F27" i="8" a="1"/>
  <c r="P55" i="10" a="1"/>
  <c r="F24" i="9" a="1"/>
  <c r="F5" i="3" a="1"/>
  <c r="F21" i="4" a="1"/>
  <c r="F15" i="3" a="1"/>
  <c r="F26" i="3" a="1"/>
  <c r="F51" i="3" a="1"/>
  <c r="N26" i="9" a="1"/>
  <c r="F25" i="8" a="1"/>
  <c r="F32" i="8" a="1"/>
  <c r="N31" i="8" a="1"/>
  <c r="M5" i="2" a="1"/>
  <c r="N20" i="4" a="1"/>
  <c r="N25" i="8" a="1"/>
  <c r="F5" i="2" a="1"/>
  <c r="F30" i="9" a="1"/>
  <c r="P27" i="7" a="1"/>
  <c r="F9" i="8" a="1"/>
  <c r="F5" i="10" a="1"/>
  <c r="N21" i="4" a="1"/>
  <c r="F5" i="8" a="1"/>
  <c r="F22" i="3" a="1"/>
  <c r="F55" i="10" a="1"/>
  <c r="P26" i="7" a="1"/>
  <c r="N23" i="8" a="1"/>
  <c r="F48" i="3" a="1"/>
  <c r="N22" i="8" a="1"/>
  <c r="M14" i="2" a="1"/>
  <c r="F14" i="3" a="1"/>
  <c r="N32" i="8" a="1"/>
  <c r="F17" i="3" l="1"/>
  <c r="F14" i="3"/>
  <c r="F48" i="3"/>
  <c r="N20" i="4"/>
  <c r="F9" i="8"/>
  <c r="F22" i="8"/>
  <c r="F23" i="8"/>
  <c r="F31" i="8"/>
  <c r="O31" i="8" s="1"/>
  <c r="N24" i="8"/>
  <c r="M14" i="2"/>
  <c r="F5" i="2"/>
  <c r="M5" i="2"/>
  <c r="F21" i="3"/>
  <c r="M6" i="2"/>
  <c r="F49" i="3"/>
  <c r="F20" i="4"/>
  <c r="N9" i="8"/>
  <c r="N22" i="8"/>
  <c r="N23" i="8"/>
  <c r="N31" i="8"/>
  <c r="F24" i="8"/>
  <c r="N22" i="9"/>
  <c r="N7" i="5"/>
  <c r="N29" i="8"/>
  <c r="N30" i="9"/>
  <c r="F26" i="7"/>
  <c r="N25" i="8"/>
  <c r="F32" i="8"/>
  <c r="F50" i="3"/>
  <c r="F53" i="3"/>
  <c r="F22" i="9"/>
  <c r="F7" i="5"/>
  <c r="F29" i="8"/>
  <c r="F30" i="9"/>
  <c r="P26" i="7"/>
  <c r="F25" i="8"/>
  <c r="N32" i="8"/>
  <c r="F5" i="3"/>
  <c r="F6" i="3"/>
  <c r="F23" i="3"/>
  <c r="F52" i="3"/>
  <c r="N33" i="8"/>
  <c r="F55" i="10"/>
  <c r="N26" i="9"/>
  <c r="P27" i="7"/>
  <c r="F24" i="9"/>
  <c r="N6" i="5"/>
  <c r="N5" i="8"/>
  <c r="F25" i="3"/>
  <c r="F13" i="3"/>
  <c r="F22" i="3"/>
  <c r="F51" i="3"/>
  <c r="F33" i="8"/>
  <c r="P55" i="10"/>
  <c r="F26" i="9"/>
  <c r="F27" i="7"/>
  <c r="Q27" i="7" s="1"/>
  <c r="N24" i="9"/>
  <c r="F6" i="5"/>
  <c r="F5" i="8"/>
  <c r="F26" i="3"/>
  <c r="N13" i="8"/>
  <c r="F27" i="8"/>
  <c r="N28" i="8"/>
  <c r="N23" i="9"/>
  <c r="M5" i="1"/>
  <c r="P5" i="10"/>
  <c r="N21" i="4"/>
  <c r="F15" i="3"/>
  <c r="F47" i="3"/>
  <c r="F13" i="8"/>
  <c r="N27" i="8"/>
  <c r="F28" i="8"/>
  <c r="O28" i="8" s="1"/>
  <c r="F23" i="9"/>
  <c r="F5" i="1"/>
  <c r="F5" i="10"/>
  <c r="Q5" i="10" s="1"/>
  <c r="F21" i="4"/>
  <c r="J5" i="2"/>
  <c r="J5" i="4"/>
  <c r="V21" i="12"/>
  <c r="V6" i="12"/>
  <c r="V18" i="12"/>
  <c r="N61" i="10"/>
  <c r="N18" i="10"/>
  <c r="N26" i="10"/>
  <c r="N42" i="10"/>
  <c r="N50" i="10"/>
  <c r="N62" i="10"/>
  <c r="N17" i="10"/>
  <c r="N24" i="10"/>
  <c r="N45" i="10"/>
  <c r="N53" i="10"/>
  <c r="N60" i="10"/>
  <c r="N15" i="10"/>
  <c r="N23" i="10"/>
  <c r="N44" i="10"/>
  <c r="N52" i="10"/>
  <c r="N9" i="10"/>
  <c r="N6" i="10"/>
  <c r="N14" i="10"/>
  <c r="N43" i="10"/>
  <c r="N51" i="10"/>
  <c r="N40" i="10"/>
  <c r="N57" i="10"/>
  <c r="N27" i="10"/>
  <c r="N41" i="10"/>
  <c r="N49" i="10"/>
  <c r="N58" i="10"/>
  <c r="L11" i="9"/>
  <c r="L29" i="9"/>
  <c r="L28" i="9"/>
  <c r="L6" i="9"/>
  <c r="L32" i="9"/>
  <c r="L15" i="9"/>
  <c r="L33" i="9"/>
  <c r="L27" i="9"/>
  <c r="L10" i="9"/>
  <c r="L16" i="9"/>
  <c r="N53" i="7"/>
  <c r="N14" i="7"/>
  <c r="M41" i="7"/>
  <c r="N41" i="7" s="1"/>
  <c r="N51" i="7"/>
  <c r="N15" i="7"/>
  <c r="N45" i="7"/>
  <c r="M13" i="7"/>
  <c r="N13" i="7" s="1"/>
  <c r="N6" i="7"/>
  <c r="N42" i="7"/>
  <c r="N18" i="7"/>
  <c r="N64" i="7"/>
  <c r="N43" i="7"/>
  <c r="N59" i="7"/>
  <c r="N28" i="7"/>
  <c r="N44" i="7"/>
  <c r="N60" i="7"/>
  <c r="N17" i="7"/>
  <c r="N24" i="7"/>
  <c r="N47" i="7"/>
  <c r="N55" i="7"/>
  <c r="N63" i="7"/>
  <c r="N29" i="7"/>
  <c r="N52" i="7"/>
  <c r="N23" i="7"/>
  <c r="N46" i="7"/>
  <c r="N54" i="7"/>
  <c r="N62" i="7"/>
  <c r="L12" i="5"/>
  <c r="L26" i="5"/>
  <c r="L13" i="5"/>
  <c r="L25" i="5"/>
  <c r="L31" i="5"/>
  <c r="K5" i="5"/>
  <c r="L5" i="5" s="1"/>
  <c r="K15" i="5"/>
  <c r="L15" i="5" s="1"/>
  <c r="L30" i="5"/>
  <c r="L8" i="5"/>
  <c r="K16" i="5"/>
  <c r="L16" i="5" s="1"/>
  <c r="L29" i="5"/>
  <c r="L17" i="5"/>
  <c r="L18" i="5"/>
  <c r="L35" i="5"/>
  <c r="K11" i="5"/>
  <c r="L11" i="5" s="1"/>
  <c r="L34" i="5"/>
  <c r="L42" i="4"/>
  <c r="L15" i="4"/>
  <c r="L41" i="4"/>
  <c r="K49" i="4"/>
  <c r="L49" i="4" s="1"/>
  <c r="K47" i="4"/>
  <c r="L47" i="4" s="1"/>
  <c r="L40" i="4"/>
  <c r="K48" i="4"/>
  <c r="L48" i="4" s="1"/>
  <c r="K39" i="4"/>
  <c r="L39" i="4" s="1"/>
  <c r="K43" i="4"/>
  <c r="L43" i="4" s="1"/>
  <c r="L50" i="4"/>
  <c r="L22" i="4"/>
  <c r="L46" i="4"/>
  <c r="K44" i="4"/>
  <c r="L44" i="4" s="1"/>
  <c r="L16" i="4"/>
  <c r="L45" i="4"/>
  <c r="V12" i="12"/>
  <c r="V10" i="12"/>
  <c r="V7" i="12"/>
  <c r="V13" i="12"/>
  <c r="V11" i="12"/>
  <c r="L23" i="8"/>
  <c r="L13" i="8"/>
  <c r="L11" i="8"/>
  <c r="L7" i="8"/>
  <c r="L32" i="8"/>
  <c r="L31" i="8"/>
  <c r="L9" i="8"/>
  <c r="L12" i="8"/>
  <c r="L6" i="8"/>
  <c r="L16" i="8"/>
  <c r="L27" i="8"/>
  <c r="L22" i="8"/>
  <c r="L28" i="8"/>
  <c r="K24" i="5"/>
  <c r="L24" i="5" s="1"/>
  <c r="X35" i="12"/>
  <c r="V27" i="12"/>
  <c r="V23" i="12"/>
  <c r="V24" i="12"/>
  <c r="V25" i="12"/>
  <c r="V29" i="12"/>
  <c r="V28" i="12"/>
  <c r="V30" i="12"/>
  <c r="V26" i="12"/>
  <c r="V20" i="12"/>
  <c r="V19" i="12"/>
  <c r="L49" i="3"/>
  <c r="L40" i="3"/>
  <c r="L57" i="3"/>
  <c r="L39" i="3"/>
  <c r="M39" i="3" s="1"/>
  <c r="K14" i="3"/>
  <c r="K21" i="3"/>
  <c r="K51" i="3"/>
  <c r="K25" i="3"/>
  <c r="K58" i="3"/>
  <c r="K5" i="3"/>
  <c r="K15" i="3"/>
  <c r="K22" i="3"/>
  <c r="K44" i="3"/>
  <c r="K52" i="3"/>
  <c r="K60" i="3"/>
  <c r="K6" i="3"/>
  <c r="K59" i="3"/>
  <c r="K13" i="3"/>
  <c r="K39" i="3"/>
  <c r="K47" i="3"/>
  <c r="K40" i="3"/>
  <c r="K48" i="3"/>
  <c r="K56" i="3"/>
  <c r="L21" i="3"/>
  <c r="K26" i="3"/>
  <c r="K41" i="3"/>
  <c r="K49" i="3"/>
  <c r="K57" i="3"/>
  <c r="K17" i="3"/>
  <c r="K62" i="3"/>
  <c r="K43" i="3"/>
  <c r="K50" i="3"/>
  <c r="K23" i="3"/>
  <c r="K53" i="3"/>
  <c r="K61" i="3"/>
  <c r="I41" i="1"/>
  <c r="I21" i="1"/>
  <c r="I23" i="1"/>
  <c r="I43" i="1"/>
  <c r="I50" i="1"/>
  <c r="I57" i="1"/>
  <c r="I19" i="1"/>
  <c r="I42" i="1"/>
  <c r="I49" i="1"/>
  <c r="I56" i="1"/>
  <c r="I22" i="1"/>
  <c r="I18" i="1"/>
  <c r="I48" i="1"/>
  <c r="I17" i="1"/>
  <c r="I28" i="1"/>
  <c r="I62" i="1"/>
  <c r="I16" i="1"/>
  <c r="I27" i="1"/>
  <c r="I54" i="1"/>
  <c r="I61" i="1"/>
  <c r="I13" i="1"/>
  <c r="I15" i="1"/>
  <c r="I26" i="1"/>
  <c r="I46" i="1"/>
  <c r="I53" i="1"/>
  <c r="I60" i="1"/>
  <c r="I39" i="1"/>
  <c r="I40" i="1"/>
  <c r="I14" i="1"/>
  <c r="I25" i="1"/>
  <c r="I45" i="1"/>
  <c r="I52" i="1"/>
  <c r="I59" i="1"/>
  <c r="I55" i="1"/>
  <c r="I24" i="1"/>
  <c r="I44" i="1"/>
  <c r="I51" i="1"/>
  <c r="I58" i="1"/>
  <c r="I47" i="1"/>
  <c r="I7" i="2"/>
  <c r="I44" i="2"/>
  <c r="I50" i="2"/>
  <c r="I21" i="2"/>
  <c r="I22" i="2"/>
  <c r="I49" i="2"/>
  <c r="I24" i="2"/>
  <c r="I51" i="2"/>
  <c r="I55" i="2"/>
  <c r="I61" i="2"/>
  <c r="I59" i="2"/>
  <c r="I27" i="2"/>
  <c r="I6" i="2"/>
  <c r="I60" i="2"/>
  <c r="I23" i="2"/>
  <c r="I9" i="2"/>
  <c r="I13" i="2"/>
  <c r="I25" i="2"/>
  <c r="I5" i="2"/>
  <c r="I45" i="2"/>
  <c r="I56" i="2"/>
  <c r="I42" i="2"/>
  <c r="I43" i="2"/>
  <c r="I14" i="2"/>
  <c r="I40" i="2"/>
  <c r="I52" i="2"/>
  <c r="I57" i="2"/>
  <c r="I62" i="2"/>
  <c r="I53" i="2"/>
  <c r="I17" i="2"/>
  <c r="I48" i="2"/>
  <c r="I54" i="2"/>
  <c r="I18" i="2"/>
  <c r="I15" i="2"/>
  <c r="I26" i="2"/>
  <c r="I41" i="2"/>
  <c r="I58" i="2"/>
  <c r="I39" i="2"/>
  <c r="I47" i="2"/>
  <c r="I7" i="1"/>
  <c r="I6" i="1"/>
  <c r="I9" i="1"/>
  <c r="I10" i="1"/>
  <c r="M49" i="7"/>
  <c r="N49" i="7" s="1"/>
  <c r="J40" i="1"/>
  <c r="J22" i="1"/>
  <c r="J13" i="2"/>
  <c r="J56" i="2"/>
  <c r="K19" i="4"/>
  <c r="L19" i="4" s="1"/>
  <c r="K32" i="5"/>
  <c r="L32" i="5" s="1"/>
  <c r="K26" i="8"/>
  <c r="K9" i="9"/>
  <c r="L9" i="9" s="1"/>
  <c r="M48" i="10"/>
  <c r="N48" i="10" s="1"/>
  <c r="K12" i="4"/>
  <c r="L12" i="4" s="1"/>
  <c r="J13" i="1"/>
  <c r="J40" i="2"/>
  <c r="J57" i="2"/>
  <c r="K18" i="4"/>
  <c r="L18" i="4" s="1"/>
  <c r="M25" i="7"/>
  <c r="N25" i="7" s="1"/>
  <c r="M5" i="7"/>
  <c r="N5" i="7" s="1"/>
  <c r="L5" i="7"/>
  <c r="J49" i="2"/>
  <c r="K11" i="4"/>
  <c r="L11" i="4" s="1"/>
  <c r="K15" i="8"/>
  <c r="K6" i="4"/>
  <c r="L6" i="4" s="1"/>
  <c r="J57" i="1"/>
  <c r="J42" i="2"/>
  <c r="J39" i="2"/>
  <c r="K33" i="5"/>
  <c r="L33" i="5" s="1"/>
  <c r="K14" i="8"/>
  <c r="K30" i="8"/>
  <c r="M25" i="10"/>
  <c r="N25" i="10" s="1"/>
  <c r="K7" i="4"/>
  <c r="L7" i="4" s="1"/>
  <c r="J26" i="1"/>
  <c r="J15" i="2"/>
  <c r="J41" i="2"/>
  <c r="J24" i="1"/>
  <c r="J55" i="1"/>
  <c r="J21" i="2"/>
  <c r="J47" i="2"/>
  <c r="M22" i="7"/>
  <c r="N22" i="7" s="1"/>
  <c r="M61" i="7"/>
  <c r="N61" i="7" s="1"/>
  <c r="K5" i="9"/>
  <c r="L5" i="9" s="1"/>
  <c r="K13" i="9"/>
  <c r="L13" i="9" s="1"/>
  <c r="K31" i="9"/>
  <c r="L31" i="9" s="1"/>
  <c r="K13" i="4"/>
  <c r="L13" i="4" s="1"/>
  <c r="K28" i="5"/>
  <c r="L28" i="5" s="1"/>
  <c r="M57" i="7"/>
  <c r="N57" i="7" s="1"/>
  <c r="M59" i="10"/>
  <c r="N59" i="10" s="1"/>
  <c r="K14" i="4"/>
  <c r="L14" i="4" s="1"/>
  <c r="J42" i="1"/>
  <c r="J49" i="1"/>
  <c r="J56" i="1"/>
  <c r="J7" i="2"/>
  <c r="J23" i="2"/>
  <c r="J50" i="2"/>
  <c r="K5" i="4"/>
  <c r="L5" i="4" s="1"/>
  <c r="K17" i="4"/>
  <c r="L17" i="4" s="1"/>
  <c r="M50" i="7"/>
  <c r="N50" i="7" s="1"/>
  <c r="M58" i="7"/>
  <c r="N58" i="7" s="1"/>
  <c r="M22" i="10"/>
  <c r="N22" i="10" s="1"/>
  <c r="K14" i="9"/>
  <c r="L14" i="9" s="1"/>
  <c r="J48" i="1"/>
  <c r="J21" i="1"/>
  <c r="J24" i="2"/>
  <c r="L23" i="3"/>
  <c r="M21" i="7"/>
  <c r="N21" i="7" s="1"/>
  <c r="K10" i="8"/>
  <c r="M13" i="10"/>
  <c r="N13" i="10" s="1"/>
  <c r="M21" i="10"/>
  <c r="N21" i="10" s="1"/>
  <c r="M39" i="10"/>
  <c r="N39" i="10" s="1"/>
  <c r="M47" i="10"/>
  <c r="N47" i="10" s="1"/>
  <c r="M56" i="10"/>
  <c r="N56" i="10" s="1"/>
  <c r="L48" i="10"/>
  <c r="L57" i="10"/>
  <c r="L41" i="10"/>
  <c r="L49" i="10"/>
  <c r="L58" i="10"/>
  <c r="L26" i="10"/>
  <c r="L50" i="10"/>
  <c r="L62" i="10"/>
  <c r="L17" i="10"/>
  <c r="L25" i="10"/>
  <c r="L61" i="10"/>
  <c r="L45" i="10"/>
  <c r="L53" i="10"/>
  <c r="L13" i="10"/>
  <c r="L52" i="10"/>
  <c r="L59" i="10"/>
  <c r="L56" i="10"/>
  <c r="L6" i="10"/>
  <c r="L43" i="10"/>
  <c r="J9" i="9"/>
  <c r="J27" i="9"/>
  <c r="J10" i="9"/>
  <c r="J28" i="9"/>
  <c r="J29" i="9"/>
  <c r="J15" i="9"/>
  <c r="J31" i="9"/>
  <c r="J6" i="9"/>
  <c r="J10" i="8"/>
  <c r="J30" i="8"/>
  <c r="J15" i="8"/>
  <c r="J14" i="8"/>
  <c r="J26" i="8"/>
  <c r="J8" i="5"/>
  <c r="Q26" i="7"/>
  <c r="J24" i="9"/>
  <c r="J22" i="9"/>
  <c r="O26" i="9"/>
  <c r="O23" i="8"/>
  <c r="O13" i="8"/>
  <c r="J16" i="8"/>
  <c r="L23" i="7"/>
  <c r="L41" i="7"/>
  <c r="L49" i="7"/>
  <c r="L57" i="7"/>
  <c r="L13" i="7"/>
  <c r="L6" i="7"/>
  <c r="L50" i="7"/>
  <c r="L58" i="7"/>
  <c r="L21" i="7"/>
  <c r="L43" i="7"/>
  <c r="L51" i="7"/>
  <c r="L59" i="7"/>
  <c r="L44" i="7"/>
  <c r="L62" i="7"/>
  <c r="L61" i="7"/>
  <c r="L64" i="7"/>
  <c r="L45" i="7"/>
  <c r="L47" i="7"/>
  <c r="L63" i="7"/>
  <c r="J15" i="5"/>
  <c r="J30" i="5"/>
  <c r="J16" i="5"/>
  <c r="J29" i="5"/>
  <c r="J32" i="5"/>
  <c r="J11" i="5"/>
  <c r="J25" i="5"/>
  <c r="J24" i="5"/>
  <c r="J5" i="5"/>
  <c r="J31" i="5"/>
  <c r="J28" i="5"/>
  <c r="J14" i="4"/>
  <c r="J43" i="4"/>
  <c r="J22" i="4"/>
  <c r="J46" i="4"/>
  <c r="J19" i="4"/>
  <c r="J45" i="4"/>
  <c r="J18" i="4"/>
  <c r="J44" i="4"/>
  <c r="J11" i="4"/>
  <c r="J47" i="4"/>
  <c r="J6" i="4"/>
  <c r="J48" i="4"/>
  <c r="J42" i="4"/>
  <c r="J50" i="4"/>
  <c r="J7" i="4"/>
  <c r="J40" i="4"/>
  <c r="J41" i="4"/>
  <c r="J49" i="4"/>
  <c r="J13" i="4"/>
  <c r="L25" i="3"/>
  <c r="L5" i="3"/>
  <c r="L15" i="3"/>
  <c r="L41" i="3"/>
  <c r="M41" i="3" s="1"/>
  <c r="L44" i="3"/>
  <c r="M44" i="3" s="1"/>
  <c r="L17" i="3"/>
  <c r="L51" i="3"/>
  <c r="L13" i="3"/>
  <c r="J62" i="2"/>
  <c r="J44" i="2"/>
  <c r="J17" i="4"/>
  <c r="L60" i="7"/>
  <c r="L17" i="7"/>
  <c r="L29" i="7"/>
  <c r="L18" i="7"/>
  <c r="L25" i="7"/>
  <c r="L55" i="7"/>
  <c r="L28" i="7"/>
  <c r="L53" i="7"/>
  <c r="L15" i="7"/>
  <c r="L14" i="7"/>
  <c r="L42" i="7"/>
  <c r="J12" i="5"/>
  <c r="J13" i="5"/>
  <c r="J34" i="5"/>
  <c r="J33" i="5"/>
  <c r="J17" i="5"/>
  <c r="J9" i="4"/>
  <c r="L44" i="10"/>
  <c r="L24" i="10"/>
  <c r="L40" i="10"/>
  <c r="L27" i="10"/>
  <c r="L23" i="10"/>
  <c r="L15" i="10"/>
  <c r="L42" i="10"/>
  <c r="L22" i="10"/>
  <c r="L18" i="10"/>
  <c r="L14" i="10"/>
  <c r="L60" i="10"/>
  <c r="L21" i="10"/>
  <c r="L55" i="10"/>
  <c r="L51" i="10"/>
  <c r="L47" i="10"/>
  <c r="L9" i="10"/>
  <c r="L39" i="10"/>
  <c r="L5" i="10"/>
  <c r="J13" i="9"/>
  <c r="J11" i="9"/>
  <c r="J33" i="9"/>
  <c r="J14" i="9"/>
  <c r="J5" i="8"/>
  <c r="J23" i="9"/>
  <c r="J22" i="8"/>
  <c r="L46" i="7"/>
  <c r="L54" i="7"/>
  <c r="J35" i="5"/>
  <c r="J26" i="5"/>
  <c r="L58" i="3"/>
  <c r="L53" i="3"/>
  <c r="L50" i="3"/>
  <c r="J18" i="5"/>
  <c r="O30" i="9"/>
  <c r="J16" i="9"/>
  <c r="J5" i="9"/>
  <c r="J26" i="9"/>
  <c r="J32" i="9"/>
  <c r="L52" i="7"/>
  <c r="L22" i="7"/>
  <c r="L24" i="7"/>
  <c r="J8" i="4"/>
  <c r="J16" i="4"/>
  <c r="J39" i="4"/>
  <c r="J12" i="4"/>
  <c r="J15" i="4"/>
  <c r="L6" i="3"/>
  <c r="L26" i="3"/>
  <c r="L14" i="3"/>
  <c r="L56" i="3"/>
  <c r="L48" i="3"/>
  <c r="L47" i="3"/>
  <c r="J61" i="2"/>
  <c r="J17" i="2"/>
  <c r="J45" i="1"/>
  <c r="J18" i="1"/>
  <c r="L52" i="3"/>
  <c r="L62" i="3"/>
  <c r="L60" i="3"/>
  <c r="L61" i="3"/>
  <c r="L59" i="3"/>
  <c r="L43" i="3"/>
  <c r="M43" i="3" s="1"/>
  <c r="L22" i="3"/>
  <c r="J14" i="2"/>
  <c r="J60" i="2"/>
  <c r="J48" i="2"/>
  <c r="J26" i="2"/>
  <c r="J25" i="2"/>
  <c r="J58" i="2"/>
  <c r="J51" i="2"/>
  <c r="J9" i="2"/>
  <c r="J46" i="1"/>
  <c r="J61" i="1"/>
  <c r="J19" i="1"/>
  <c r="J39" i="1"/>
  <c r="J43" i="1"/>
  <c r="J17" i="1"/>
  <c r="J27" i="1"/>
  <c r="J25" i="1"/>
  <c r="J16" i="1"/>
  <c r="J28" i="1"/>
  <c r="J15" i="1"/>
  <c r="J53" i="1"/>
  <c r="J14" i="1"/>
  <c r="J23" i="1"/>
  <c r="J7" i="1"/>
  <c r="J6" i="1"/>
  <c r="J62" i="1"/>
  <c r="J9" i="1"/>
  <c r="J60" i="1"/>
  <c r="J10" i="1"/>
  <c r="J54" i="2"/>
  <c r="J55" i="2"/>
  <c r="J59" i="2"/>
  <c r="J52" i="2"/>
  <c r="J53" i="2"/>
  <c r="J43" i="2"/>
  <c r="J45" i="2"/>
  <c r="J18" i="2"/>
  <c r="J6" i="2"/>
  <c r="J22" i="2"/>
  <c r="J27" i="2"/>
  <c r="J52" i="1"/>
  <c r="J47" i="1"/>
  <c r="J44" i="1"/>
  <c r="J59" i="1"/>
  <c r="J51" i="1"/>
  <c r="J54" i="1"/>
  <c r="J50" i="1"/>
  <c r="J41" i="1"/>
  <c r="J58" i="1"/>
  <c r="F25" i="1" a="1"/>
  <c r="M17" i="1" a="1"/>
  <c r="N13" i="5" a="1"/>
  <c r="F7" i="1" a="1"/>
  <c r="M48" i="1" a="1"/>
  <c r="F18" i="1" a="1"/>
  <c r="F26" i="2" a="1"/>
  <c r="F11" i="9" a="1"/>
  <c r="P64" i="7" a="1"/>
  <c r="F44" i="1" a="1"/>
  <c r="P54" i="7" a="1"/>
  <c r="N13" i="4" a="1"/>
  <c r="P26" i="10" a="1"/>
  <c r="P58" i="7" a="1"/>
  <c r="O57" i="3" a="1"/>
  <c r="F47" i="2" a="1"/>
  <c r="O56" i="3" a="1"/>
  <c r="N32" i="9" a="1"/>
  <c r="P6" i="7" a="1"/>
  <c r="F40" i="4" a="1"/>
  <c r="F57" i="2" a="1"/>
  <c r="F44" i="10" a="1"/>
  <c r="F53" i="1" a="1"/>
  <c r="M43" i="1" a="1"/>
  <c r="N39" i="4" a="1"/>
  <c r="P62" i="10" a="1"/>
  <c r="F9" i="1" a="1"/>
  <c r="N15" i="4" a="1"/>
  <c r="M14" i="1" a="1"/>
  <c r="P51" i="7" a="1"/>
  <c r="N12" i="5" a="1"/>
  <c r="F26" i="1" a="1"/>
  <c r="N6" i="4" a="1"/>
  <c r="F5" i="9" a="1"/>
  <c r="F23" i="7" a="1"/>
  <c r="N43" i="4" a="1"/>
  <c r="F59" i="7" a="1"/>
  <c r="M52" i="1" a="1"/>
  <c r="F54" i="1" a="1"/>
  <c r="F15" i="8" a="1"/>
  <c r="N41" i="4" a="1"/>
  <c r="O59" i="3" a="1"/>
  <c r="M22" i="2" a="1"/>
  <c r="P51" i="10" a="1"/>
  <c r="F16" i="1" a="1"/>
  <c r="F39" i="3" a="1"/>
  <c r="N47" i="4" a="1"/>
  <c r="N7" i="4" a="1"/>
  <c r="M41" i="1" a="1"/>
  <c r="N16" i="5" a="1"/>
  <c r="M57" i="1" a="1"/>
  <c r="F26" i="8" a="1"/>
  <c r="P52" i="7" a="1"/>
  <c r="F24" i="1" a="1"/>
  <c r="P47" i="7" a="1"/>
  <c r="P61" i="10" a="1"/>
  <c r="P6" i="10" a="1"/>
  <c r="P49" i="7" a="1"/>
  <c r="M39" i="2" a="1"/>
  <c r="P21" i="7" a="1"/>
  <c r="F6" i="9" a="1"/>
  <c r="M59" i="2" a="1"/>
  <c r="F25" i="2" a="1"/>
  <c r="F46" i="4" a="1"/>
  <c r="P46" i="7" a="1"/>
  <c r="M61" i="1" a="1"/>
  <c r="F28" i="7" a="1"/>
  <c r="F27" i="2" a="1"/>
  <c r="F26" i="5" a="1"/>
  <c r="N31" i="9" a="1"/>
  <c r="F42" i="2" a="1"/>
  <c r="P60" i="10" a="1"/>
  <c r="N45" i="4" a="1"/>
  <c r="O43" i="3" a="1"/>
  <c r="P57" i="10" a="1"/>
  <c r="F62" i="3" a="1"/>
  <c r="P40" i="10" a="1"/>
  <c r="F61" i="2" a="1"/>
  <c r="F14" i="7" a="1"/>
  <c r="F50" i="2" a="1"/>
  <c r="F57" i="10" a="1"/>
  <c r="M55" i="1" a="1"/>
  <c r="F13" i="1" a="1"/>
  <c r="P44" i="7" a="1"/>
  <c r="F43" i="2" a="1"/>
  <c r="F44" i="2" a="1"/>
  <c r="M62" i="1" a="1"/>
  <c r="P15" i="7" a="1"/>
  <c r="F56" i="10" a="1"/>
  <c r="F15" i="10" a="1"/>
  <c r="F49" i="2" a="1"/>
  <c r="N15" i="9" a="1"/>
  <c r="F49" i="1" a="1"/>
  <c r="N14" i="4" a="1"/>
  <c r="P13" i="10" a="1"/>
  <c r="N11" i="5" a="1"/>
  <c r="N44" i="4" a="1"/>
  <c r="F10" i="9" a="1"/>
  <c r="P58" i="10" a="1"/>
  <c r="P61" i="7" a="1"/>
  <c r="F18" i="7" a="1"/>
  <c r="F17" i="4" a="1"/>
  <c r="N33" i="5" a="1"/>
  <c r="M45" i="1" a="1"/>
  <c r="F27" i="1" a="1"/>
  <c r="F13" i="7" a="1"/>
  <c r="F50" i="1" a="1"/>
  <c r="M21" i="2" a="1"/>
  <c r="F28" i="1" a="1"/>
  <c r="F5" i="4" a="1"/>
  <c r="F17" i="10" a="1"/>
  <c r="F43" i="7" a="1"/>
  <c r="M15" i="1" a="1"/>
  <c r="F41" i="10" a="1"/>
  <c r="F17" i="7" a="1"/>
  <c r="P39" i="10" a="1"/>
  <c r="N17" i="5" a="1"/>
  <c r="F44" i="3" a="1"/>
  <c r="P59" i="7" a="1"/>
  <c r="F59" i="1" a="1"/>
  <c r="F18" i="2" a="1"/>
  <c r="F40" i="1" a="1"/>
  <c r="P43" i="10" a="1"/>
  <c r="F30" i="8" a="1"/>
  <c r="F19" i="1" a="1"/>
  <c r="N28" i="9" a="1"/>
  <c r="P18" i="10" a="1"/>
  <c r="F52" i="10" a="1"/>
  <c r="M40" i="2" a="1"/>
  <c r="F56" i="1" a="1"/>
  <c r="F57" i="7" a="1"/>
  <c r="F48" i="2" a="1"/>
  <c r="M58" i="2" a="1"/>
  <c r="N14" i="9" a="1"/>
  <c r="F32" i="5" a="1"/>
  <c r="N12" i="4" a="1"/>
  <c r="M52" i="2" a="1"/>
  <c r="P24" i="10" a="1"/>
  <c r="N8" i="5" a="1"/>
  <c r="F5" i="7" a="1"/>
  <c r="F11" i="4" a="1"/>
  <c r="F49" i="10" a="1"/>
  <c r="F49" i="4" a="1"/>
  <c r="O40" i="3" a="1"/>
  <c r="P59" i="10" a="1"/>
  <c r="F42" i="7" a="1"/>
  <c r="P29" i="7" a="1"/>
  <c r="F24" i="2" a="1"/>
  <c r="F29" i="5" a="1"/>
  <c r="F27" i="10" a="1"/>
  <c r="F12" i="8" a="1"/>
  <c r="N34" i="5" a="1"/>
  <c r="M53" i="2" a="1"/>
  <c r="F17" i="2" a="1"/>
  <c r="F23" i="2" a="1"/>
  <c r="P63" i="7" a="1"/>
  <c r="F51" i="2" a="1"/>
  <c r="O41" i="3" a="1"/>
  <c r="F13" i="2" a="1"/>
  <c r="F50" i="7" a="1"/>
  <c r="F7" i="8" a="1"/>
  <c r="N13" i="9" a="1"/>
  <c r="M58" i="1" a="1"/>
  <c r="F62" i="7" a="1"/>
  <c r="F7" i="2" a="1"/>
  <c r="P42" i="10" a="1"/>
  <c r="N11" i="8" a="1"/>
  <c r="F19" i="4" a="1"/>
  <c r="F58" i="3" a="1"/>
  <c r="M26" i="1" a="1"/>
  <c r="F50" i="4" a="1"/>
  <c r="F16" i="9" a="1"/>
  <c r="P45" i="7" a="1"/>
  <c r="N5" i="5" a="1"/>
  <c r="F59" i="2" a="1"/>
  <c r="F41" i="2" a="1"/>
  <c r="M45" i="2" a="1"/>
  <c r="N15" i="8" a="1"/>
  <c r="F41" i="4" a="1"/>
  <c r="F59" i="3" a="1"/>
  <c r="F22" i="2" a="1"/>
  <c r="O60" i="3" a="1"/>
  <c r="F43" i="3" a="1"/>
  <c r="M55" i="2" a="1"/>
  <c r="F46" i="1" a="1"/>
  <c r="F39" i="1" a="1"/>
  <c r="F18" i="4" a="1"/>
  <c r="N10" i="8" a="1"/>
  <c r="F48" i="10" a="1"/>
  <c r="P53" i="7" a="1"/>
  <c r="F35" i="5" a="1"/>
  <c r="M47" i="1" a="1"/>
  <c r="N22" i="4" a="1"/>
  <c r="M25" i="1" a="1"/>
  <c r="F17" i="1" a="1"/>
  <c r="F30" i="5" a="1"/>
  <c r="F23" i="1" a="1"/>
  <c r="F21" i="1" a="1"/>
  <c r="M10" i="1" a="1"/>
  <c r="O61" i="3" a="1"/>
  <c r="N11" i="9" a="1"/>
  <c r="F16" i="8" a="1"/>
  <c r="F51" i="1" a="1"/>
  <c r="F54" i="7" a="1"/>
  <c r="F13" i="4" a="1"/>
  <c r="F26" i="10" a="1"/>
  <c r="F58" i="7" a="1"/>
  <c r="N9" i="4" a="1"/>
  <c r="M47" i="2" a="1"/>
  <c r="F56" i="3" a="1"/>
  <c r="P14" i="10" a="1"/>
  <c r="F24" i="7" a="1"/>
  <c r="N48" i="4" a="1"/>
  <c r="F62" i="2" a="1"/>
  <c r="P44" i="10" a="1"/>
  <c r="F6" i="1" a="1"/>
  <c r="F47" i="10" a="1"/>
  <c r="F54" i="2" a="1"/>
  <c r="N33" i="9" a="1"/>
  <c r="M9" i="2" a="1"/>
  <c r="F16" i="4" a="1"/>
  <c r="P25" i="10" a="1"/>
  <c r="F24" i="5" a="1"/>
  <c r="F12" i="5" a="1"/>
  <c r="F15" i="1" a="1"/>
  <c r="F25" i="7" a="1"/>
  <c r="P50" i="10" a="1"/>
  <c r="N27" i="9" a="1"/>
  <c r="P22" i="7" a="1"/>
  <c r="N19" i="4" a="1"/>
  <c r="N8" i="4" a="1"/>
  <c r="F41" i="7" a="1"/>
  <c r="F39" i="10" a="1"/>
  <c r="F46" i="7" a="1"/>
  <c r="F17" i="5" a="1"/>
  <c r="O44" i="3" a="1"/>
  <c r="F6" i="8" a="1"/>
  <c r="M16" i="1" a="1"/>
  <c r="O39" i="3" a="1"/>
  <c r="F13" i="5" a="1"/>
  <c r="M7" i="1" a="1"/>
  <c r="F48" i="1" a="1"/>
  <c r="M18" i="1" a="1"/>
  <c r="M26" i="2" a="1"/>
  <c r="N26" i="8" a="1"/>
  <c r="F5" i="5" a="1"/>
  <c r="M59" i="1" a="1"/>
  <c r="M43" i="2" a="1"/>
  <c r="F62" i="1" a="1"/>
  <c r="N26" i="5" a="1"/>
  <c r="F43" i="10" a="1"/>
  <c r="O62" i="3" a="1"/>
  <c r="P52" i="10" a="1"/>
  <c r="N29" i="5" a="1"/>
  <c r="F14" i="2" a="1"/>
  <c r="M22" i="1" a="1"/>
  <c r="P50" i="7" a="1"/>
  <c r="M54" i="2" a="1"/>
  <c r="N16" i="4" a="1"/>
  <c r="F31" i="5" a="1"/>
  <c r="N18" i="5" a="1"/>
  <c r="F28" i="5" a="1"/>
  <c r="M60" i="1" a="1"/>
  <c r="N15" i="5" a="1"/>
  <c r="F9" i="10" a="1"/>
  <c r="P57" i="7" a="1"/>
  <c r="F18" i="5" a="1"/>
  <c r="F15" i="2" a="1"/>
  <c r="F55" i="1" a="1"/>
  <c r="M13" i="1" a="1"/>
  <c r="F55" i="7" a="1"/>
  <c r="M42" i="1" a="1"/>
  <c r="M56" i="2" a="1"/>
  <c r="F22" i="1" a="1"/>
  <c r="F15" i="7" a="1"/>
  <c r="P56" i="10" a="1"/>
  <c r="P22" i="10" a="1"/>
  <c r="M49" i="2" a="1"/>
  <c r="F15" i="9" a="1"/>
  <c r="M49" i="1" a="1"/>
  <c r="F14" i="4" a="1"/>
  <c r="F13" i="10" a="1"/>
  <c r="F25" i="5" a="1"/>
  <c r="F44" i="4" a="1"/>
  <c r="N10" i="9" a="1"/>
  <c r="F6" i="4" a="1"/>
  <c r="N5" i="9" a="1"/>
  <c r="P23" i="7" a="1"/>
  <c r="F43" i="4" a="1"/>
  <c r="F33" i="5" a="1"/>
  <c r="F40" i="2" a="1"/>
  <c r="M50" i="2" a="1"/>
  <c r="F39" i="4" a="1"/>
  <c r="F62" i="10" a="1"/>
  <c r="M9" i="1" a="1"/>
  <c r="F15" i="4" a="1"/>
  <c r="F14" i="1" a="1"/>
  <c r="F60" i="7" a="1"/>
  <c r="P43" i="7" a="1"/>
  <c r="F58" i="1" a="1"/>
  <c r="F14" i="8" a="1"/>
  <c r="F42" i="4" a="1"/>
  <c r="P53" i="10" a="1"/>
  <c r="N9" i="9" a="1"/>
  <c r="N24" i="5" a="1"/>
  <c r="N31" i="5" a="1"/>
  <c r="M46" i="1" a="1"/>
  <c r="N50" i="4" a="1"/>
  <c r="N16" i="9" a="1"/>
  <c r="F45" i="7" a="1"/>
  <c r="M39" i="1" a="1"/>
  <c r="F61" i="1" a="1"/>
  <c r="F44" i="7" a="1"/>
  <c r="M44" i="2" a="1"/>
  <c r="F40" i="10" a="1"/>
  <c r="P42" i="7" a="1"/>
  <c r="F60" i="1" a="1"/>
  <c r="N12" i="8" a="1"/>
  <c r="F34" i="5" a="1"/>
  <c r="N7" i="8" a="1"/>
  <c r="F9" i="2" a="1"/>
  <c r="O58" i="3" a="1"/>
  <c r="F14" i="10" a="1"/>
  <c r="F48" i="4" a="1"/>
  <c r="P28" i="7" a="1"/>
  <c r="F29" i="9" a="1"/>
  <c r="F45" i="10" a="1"/>
  <c r="F15" i="5" a="1"/>
  <c r="F64" i="7" a="1"/>
  <c r="M44" i="1" a="1"/>
  <c r="F47" i="7" a="1"/>
  <c r="F61" i="10" a="1"/>
  <c r="F6" i="10" a="1"/>
  <c r="F49" i="7" a="1"/>
  <c r="F57" i="3" a="1"/>
  <c r="M48" i="2" a="1"/>
  <c r="F58" i="2" a="1"/>
  <c r="F32" i="9" a="1"/>
  <c r="F6" i="7" a="1"/>
  <c r="N40" i="4" a="1"/>
  <c r="M57" i="2" a="1"/>
  <c r="F24" i="10" a="1"/>
  <c r="M53" i="1" a="1"/>
  <c r="F43" i="1" a="1"/>
  <c r="N11" i="4" a="1"/>
  <c r="P49" i="10" a="1"/>
  <c r="N49" i="4" a="1"/>
  <c r="F40" i="3" a="1"/>
  <c r="F59" i="10" a="1"/>
  <c r="F51" i="7" a="1"/>
  <c r="F29" i="7" a="1"/>
  <c r="M24" i="2" a="1"/>
  <c r="F21" i="7" a="1"/>
  <c r="P41" i="10" a="1"/>
  <c r="N6" i="9" a="1"/>
  <c r="P17" i="7" a="1"/>
  <c r="F53" i="2" a="1"/>
  <c r="F52" i="1" a="1"/>
  <c r="M54" i="1" a="1"/>
  <c r="P13" i="7" a="1"/>
  <c r="M50" i="1" a="1"/>
  <c r="F21" i="2" a="1"/>
  <c r="M28" i="1" a="1"/>
  <c r="N5" i="4" a="1"/>
  <c r="F23" i="10" a="1"/>
  <c r="F13" i="9" a="1"/>
  <c r="F60" i="2" a="1"/>
  <c r="F21" i="10" a="1"/>
  <c r="F55" i="2" a="1"/>
  <c r="M56" i="1" a="1"/>
  <c r="P45" i="10" a="1"/>
  <c r="P60" i="7" a="1"/>
  <c r="F52" i="7" a="1"/>
  <c r="M24" i="1" a="1"/>
  <c r="P25" i="7" a="1"/>
  <c r="F50" i="10" a="1"/>
  <c r="F27" i="9" a="1"/>
  <c r="F22" i="7" a="1"/>
  <c r="F39" i="2" a="1"/>
  <c r="M41" i="2" a="1"/>
  <c r="F45" i="2" a="1"/>
  <c r="F14" i="9" a="1"/>
  <c r="N32" i="5" a="1"/>
  <c r="F12" i="4" a="1"/>
  <c r="F52" i="2" a="1"/>
  <c r="F18" i="10" a="1"/>
  <c r="N6" i="8" a="1"/>
  <c r="F8" i="5" a="1"/>
  <c r="F60" i="3" a="1"/>
  <c r="M61" i="2" a="1"/>
  <c r="P27" i="10" a="1"/>
  <c r="M15" i="2" a="1"/>
  <c r="F42" i="1" a="1"/>
  <c r="F22" i="10" a="1"/>
  <c r="F51" i="10" a="1"/>
  <c r="M27" i="2" a="1"/>
  <c r="M60" i="2" a="1"/>
  <c r="P21" i="10" a="1"/>
  <c r="P9" i="10" a="1"/>
  <c r="P15" i="10" a="1"/>
  <c r="M42" i="2" a="1"/>
  <c r="N30" i="8" a="1"/>
  <c r="M19" i="1" a="1"/>
  <c r="F60" i="10" a="1"/>
  <c r="F28" i="9" a="1"/>
  <c r="F11" i="5" a="1"/>
  <c r="N18" i="4" a="1"/>
  <c r="F10" i="8" a="1"/>
  <c r="F58" i="10" a="1"/>
  <c r="F61" i="7" a="1"/>
  <c r="P18" i="7" a="1"/>
  <c r="N17" i="4" a="1"/>
  <c r="F22" i="4" a="1"/>
  <c r="F45" i="1" a="1"/>
  <c r="M27" i="1" a="1"/>
  <c r="N30" i="5" a="1"/>
  <c r="M23" i="1" a="1"/>
  <c r="M21" i="1" a="1"/>
  <c r="F10" i="1" a="1"/>
  <c r="F61" i="3" a="1"/>
  <c r="P17" i="10" a="1"/>
  <c r="N16" i="8" a="1"/>
  <c r="M51" i="1" a="1"/>
  <c r="P62" i="7" a="1"/>
  <c r="M7" i="2" a="1"/>
  <c r="F42" i="10" a="1"/>
  <c r="F11" i="8" a="1"/>
  <c r="F9" i="4" a="1"/>
  <c r="M25" i="2" a="1"/>
  <c r="M23" i="2" a="1"/>
  <c r="F63" i="7" a="1"/>
  <c r="M51" i="2" a="1"/>
  <c r="F41" i="3" a="1"/>
  <c r="M13" i="2" a="1"/>
  <c r="N29" i="9" a="1"/>
  <c r="M6" i="1" a="1"/>
  <c r="P47" i="10" a="1"/>
  <c r="F47" i="4" a="1"/>
  <c r="F7" i="4" a="1"/>
  <c r="F41" i="1" a="1"/>
  <c r="F16" i="5" a="1"/>
  <c r="F57" i="1" a="1"/>
  <c r="P23" i="10" a="1"/>
  <c r="F31" i="9" a="1"/>
  <c r="F6" i="2" a="1"/>
  <c r="N14" i="8" a="1"/>
  <c r="N42" i="4" a="1"/>
  <c r="F53" i="10" a="1"/>
  <c r="F9" i="9" a="1"/>
  <c r="F45" i="4" a="1"/>
  <c r="F8" i="4" a="1"/>
  <c r="P41" i="7" a="1"/>
  <c r="P48" i="10" a="1"/>
  <c r="F53" i="7" a="1"/>
  <c r="N35" i="5" a="1"/>
  <c r="F47" i="1" a="1"/>
  <c r="P5" i="7" a="1"/>
  <c r="N28" i="5" a="1"/>
  <c r="M17" i="2" a="1"/>
  <c r="P55" i="7" a="1"/>
  <c r="F56" i="2" a="1"/>
  <c r="F33" i="9" a="1"/>
  <c r="F25" i="10" a="1"/>
  <c r="N25" i="5" a="1"/>
  <c r="N46" i="4" a="1"/>
  <c r="P24" i="7" a="1"/>
  <c r="M62" i="2" a="1"/>
  <c r="M18" i="2" a="1"/>
  <c r="M40" i="1" a="1"/>
  <c r="P14" i="7" a="1"/>
  <c r="F43" i="10" l="1"/>
  <c r="N26" i="8"/>
  <c r="F14" i="7"/>
  <c r="N45" i="4"/>
  <c r="M39" i="2"/>
  <c r="F39" i="1"/>
  <c r="N6" i="8"/>
  <c r="F18" i="10"/>
  <c r="N26" i="5"/>
  <c r="M26" i="2"/>
  <c r="F52" i="10"/>
  <c r="N28" i="9"/>
  <c r="P49" i="7"/>
  <c r="N18" i="5"/>
  <c r="F47" i="1"/>
  <c r="F52" i="2"/>
  <c r="F62" i="1"/>
  <c r="M18" i="1"/>
  <c r="F61" i="2"/>
  <c r="P60" i="10"/>
  <c r="P6" i="10"/>
  <c r="F57" i="7"/>
  <c r="N35" i="5"/>
  <c r="F12" i="4"/>
  <c r="M44" i="2"/>
  <c r="F48" i="1"/>
  <c r="O60" i="3"/>
  <c r="F19" i="1"/>
  <c r="P61" i="10"/>
  <c r="P9" i="10"/>
  <c r="F53" i="7"/>
  <c r="N32" i="5"/>
  <c r="M43" i="2"/>
  <c r="M7" i="1"/>
  <c r="P40" i="10"/>
  <c r="F30" i="8"/>
  <c r="P47" i="7"/>
  <c r="F15" i="5"/>
  <c r="P48" i="10"/>
  <c r="F14" i="9"/>
  <c r="F44" i="7"/>
  <c r="F13" i="5"/>
  <c r="F62" i="3"/>
  <c r="F42" i="2"/>
  <c r="F24" i="1"/>
  <c r="F46" i="1"/>
  <c r="P41" i="7"/>
  <c r="F45" i="2"/>
  <c r="F61" i="1"/>
  <c r="O39" i="3"/>
  <c r="P57" i="10"/>
  <c r="N31" i="9"/>
  <c r="P52" i="7"/>
  <c r="F31" i="5"/>
  <c r="F8" i="4"/>
  <c r="M41" i="2"/>
  <c r="M59" i="1"/>
  <c r="M16" i="1"/>
  <c r="O43" i="3"/>
  <c r="P43" i="10"/>
  <c r="F26" i="8"/>
  <c r="P14" i="7"/>
  <c r="F45" i="4"/>
  <c r="F39" i="2"/>
  <c r="M39" i="1"/>
  <c r="F6" i="8"/>
  <c r="P18" i="10"/>
  <c r="F26" i="5"/>
  <c r="M57" i="1"/>
  <c r="F45" i="10"/>
  <c r="F9" i="9"/>
  <c r="F22" i="7"/>
  <c r="F5" i="5"/>
  <c r="O44" i="3"/>
  <c r="F22" i="2"/>
  <c r="F40" i="1"/>
  <c r="N16" i="5"/>
  <c r="F56" i="1"/>
  <c r="F53" i="10"/>
  <c r="F27" i="9"/>
  <c r="F45" i="7"/>
  <c r="F17" i="5"/>
  <c r="F59" i="3"/>
  <c r="F27" i="2"/>
  <c r="M41" i="1"/>
  <c r="M55" i="2"/>
  <c r="N42" i="4"/>
  <c r="F50" i="10"/>
  <c r="N16" i="9"/>
  <c r="F46" i="7"/>
  <c r="F41" i="4"/>
  <c r="F18" i="2"/>
  <c r="N7" i="4"/>
  <c r="P21" i="10"/>
  <c r="N14" i="8"/>
  <c r="P25" i="7"/>
  <c r="N50" i="4"/>
  <c r="F39" i="10"/>
  <c r="N15" i="8"/>
  <c r="F28" i="7"/>
  <c r="N47" i="4"/>
  <c r="M60" i="2"/>
  <c r="F6" i="2"/>
  <c r="M24" i="1"/>
  <c r="M46" i="1"/>
  <c r="F41" i="7"/>
  <c r="M45" i="2"/>
  <c r="M61" i="1"/>
  <c r="F39" i="3"/>
  <c r="F57" i="10"/>
  <c r="Q57" i="10" s="1"/>
  <c r="F31" i="9"/>
  <c r="F52" i="7"/>
  <c r="N31" i="5"/>
  <c r="N8" i="4"/>
  <c r="F41" i="2"/>
  <c r="F59" i="1"/>
  <c r="F16" i="1"/>
  <c r="F43" i="3"/>
  <c r="P23" i="10"/>
  <c r="P60" i="7"/>
  <c r="N24" i="5"/>
  <c r="N19" i="4"/>
  <c r="F59" i="2"/>
  <c r="P59" i="7"/>
  <c r="P51" i="10"/>
  <c r="F29" i="9"/>
  <c r="F57" i="1"/>
  <c r="P45" i="10"/>
  <c r="N9" i="9"/>
  <c r="P22" i="7"/>
  <c r="N5" i="5"/>
  <c r="F44" i="3"/>
  <c r="M22" i="2"/>
  <c r="M40" i="1"/>
  <c r="F16" i="5"/>
  <c r="M56" i="1"/>
  <c r="P53" i="10"/>
  <c r="N27" i="9"/>
  <c r="P45" i="7"/>
  <c r="N17" i="5"/>
  <c r="O59" i="3"/>
  <c r="M27" i="2"/>
  <c r="F41" i="1"/>
  <c r="F55" i="2"/>
  <c r="F42" i="4"/>
  <c r="P50" i="10"/>
  <c r="F16" i="9"/>
  <c r="P46" i="7"/>
  <c r="N41" i="4"/>
  <c r="M18" i="2"/>
  <c r="F7" i="4"/>
  <c r="F21" i="10"/>
  <c r="F14" i="8"/>
  <c r="F25" i="7"/>
  <c r="F50" i="4"/>
  <c r="P39" i="10"/>
  <c r="F15" i="8"/>
  <c r="P28" i="7"/>
  <c r="F47" i="4"/>
  <c r="F60" i="2"/>
  <c r="F58" i="1"/>
  <c r="F15" i="1"/>
  <c r="M26" i="1"/>
  <c r="F46" i="4"/>
  <c r="F54" i="1"/>
  <c r="F50" i="2"/>
  <c r="P47" i="10"/>
  <c r="F13" i="9"/>
  <c r="P43" i="7"/>
  <c r="F12" i="5"/>
  <c r="F58" i="3"/>
  <c r="F25" i="2"/>
  <c r="M52" i="1"/>
  <c r="M40" i="2"/>
  <c r="M6" i="1"/>
  <c r="F23" i="10"/>
  <c r="F60" i="7"/>
  <c r="F24" i="5"/>
  <c r="F19" i="4"/>
  <c r="M59" i="2"/>
  <c r="F59" i="7"/>
  <c r="F51" i="10"/>
  <c r="N29" i="9"/>
  <c r="N5" i="4"/>
  <c r="F14" i="1"/>
  <c r="P25" i="10"/>
  <c r="N11" i="8"/>
  <c r="F17" i="7"/>
  <c r="N43" i="4"/>
  <c r="M62" i="2"/>
  <c r="M13" i="2"/>
  <c r="M28" i="1"/>
  <c r="F15" i="4"/>
  <c r="F16" i="4"/>
  <c r="P42" i="10"/>
  <c r="F6" i="9"/>
  <c r="F23" i="7"/>
  <c r="F48" i="4"/>
  <c r="F41" i="3"/>
  <c r="F21" i="2"/>
  <c r="M9" i="1"/>
  <c r="M9" i="2"/>
  <c r="F7" i="2"/>
  <c r="F41" i="10"/>
  <c r="F5" i="9"/>
  <c r="P24" i="7"/>
  <c r="M51" i="2"/>
  <c r="M50" i="1"/>
  <c r="F62" i="10"/>
  <c r="N33" i="9"/>
  <c r="F62" i="7"/>
  <c r="P21" i="7"/>
  <c r="N6" i="4"/>
  <c r="F14" i="10"/>
  <c r="F63" i="7"/>
  <c r="P13" i="7"/>
  <c r="F39" i="4"/>
  <c r="F54" i="2"/>
  <c r="M58" i="1"/>
  <c r="M15" i="1"/>
  <c r="F26" i="1"/>
  <c r="N46" i="4"/>
  <c r="M23" i="2"/>
  <c r="M54" i="1"/>
  <c r="M50" i="2"/>
  <c r="F47" i="10"/>
  <c r="N13" i="9"/>
  <c r="F43" i="7"/>
  <c r="N12" i="5"/>
  <c r="O58" i="3"/>
  <c r="M25" i="2"/>
  <c r="F52" i="1"/>
  <c r="F40" i="2"/>
  <c r="F6" i="1"/>
  <c r="F7" i="8"/>
  <c r="F17" i="10"/>
  <c r="P51" i="7"/>
  <c r="N25" i="5"/>
  <c r="F9" i="4"/>
  <c r="F53" i="2"/>
  <c r="F33" i="5"/>
  <c r="P44" i="10"/>
  <c r="F50" i="7"/>
  <c r="Q50" i="7" s="1"/>
  <c r="F5" i="4"/>
  <c r="M14" i="1"/>
  <c r="F25" i="10"/>
  <c r="Q25" i="10" s="1"/>
  <c r="F11" i="8"/>
  <c r="P17" i="7"/>
  <c r="F43" i="4"/>
  <c r="F62" i="2"/>
  <c r="F13" i="2"/>
  <c r="N13" i="2" s="1"/>
  <c r="F28" i="1"/>
  <c r="N15" i="4"/>
  <c r="N16" i="4"/>
  <c r="F42" i="10"/>
  <c r="N6" i="9"/>
  <c r="P23" i="7"/>
  <c r="N48" i="4"/>
  <c r="O41" i="3"/>
  <c r="M21" i="2"/>
  <c r="F9" i="1"/>
  <c r="F9" i="2"/>
  <c r="N9" i="2" s="1"/>
  <c r="M7" i="2"/>
  <c r="P41" i="10"/>
  <c r="N5" i="9"/>
  <c r="F24" i="7"/>
  <c r="F51" i="2"/>
  <c r="N51" i="2" s="1"/>
  <c r="F50" i="1"/>
  <c r="P62" i="10"/>
  <c r="F33" i="9"/>
  <c r="O33" i="9" s="1"/>
  <c r="P62" i="7"/>
  <c r="F21" i="7"/>
  <c r="F6" i="4"/>
  <c r="P14" i="10"/>
  <c r="P63" i="7"/>
  <c r="F13" i="7"/>
  <c r="N39" i="4"/>
  <c r="M54" i="2"/>
  <c r="M51" i="1"/>
  <c r="M24" i="2"/>
  <c r="N10" i="9"/>
  <c r="F56" i="3"/>
  <c r="F23" i="2"/>
  <c r="N23" i="2" s="1"/>
  <c r="F27" i="1"/>
  <c r="M43" i="1"/>
  <c r="F22" i="10"/>
  <c r="N16" i="8"/>
  <c r="F29" i="7"/>
  <c r="F44" i="4"/>
  <c r="M47" i="2"/>
  <c r="F17" i="2"/>
  <c r="N17" i="2" s="1"/>
  <c r="M45" i="1"/>
  <c r="F53" i="1"/>
  <c r="N7" i="8"/>
  <c r="P17" i="10"/>
  <c r="F51" i="7"/>
  <c r="F25" i="5"/>
  <c r="N9" i="4"/>
  <c r="M53" i="2"/>
  <c r="N33" i="5"/>
  <c r="F44" i="10"/>
  <c r="P50" i="7"/>
  <c r="F61" i="3"/>
  <c r="F59" i="10"/>
  <c r="F13" i="10"/>
  <c r="F58" i="7"/>
  <c r="N34" i="5"/>
  <c r="F17" i="4"/>
  <c r="F57" i="2"/>
  <c r="M22" i="1"/>
  <c r="F10" i="1"/>
  <c r="F40" i="3"/>
  <c r="F14" i="4"/>
  <c r="O14" i="4" s="1"/>
  <c r="F26" i="10"/>
  <c r="F12" i="8"/>
  <c r="F18" i="7"/>
  <c r="F40" i="4"/>
  <c r="F56" i="2"/>
  <c r="N56" i="2" s="1"/>
  <c r="M21" i="1"/>
  <c r="N49" i="4"/>
  <c r="M49" i="1"/>
  <c r="F13" i="4"/>
  <c r="F27" i="10"/>
  <c r="Q27" i="10" s="1"/>
  <c r="P61" i="7"/>
  <c r="P6" i="7"/>
  <c r="F42" i="1"/>
  <c r="N42" i="1" s="1"/>
  <c r="M23" i="1"/>
  <c r="P49" i="10"/>
  <c r="F15" i="9"/>
  <c r="F54" i="7"/>
  <c r="F29" i="5"/>
  <c r="O29" i="5" s="1"/>
  <c r="P58" i="10"/>
  <c r="N32" i="9"/>
  <c r="P55" i="7"/>
  <c r="N30" i="5"/>
  <c r="N11" i="4"/>
  <c r="M49" i="2"/>
  <c r="F51" i="1"/>
  <c r="F24" i="2"/>
  <c r="F10" i="9"/>
  <c r="O56" i="3"/>
  <c r="F14" i="2"/>
  <c r="M27" i="1"/>
  <c r="F43" i="1"/>
  <c r="P22" i="10"/>
  <c r="F16" i="8"/>
  <c r="P29" i="7"/>
  <c r="N44" i="4"/>
  <c r="F47" i="2"/>
  <c r="M17" i="2"/>
  <c r="F45" i="1"/>
  <c r="M53" i="1"/>
  <c r="P56" i="10"/>
  <c r="N11" i="9"/>
  <c r="F42" i="7"/>
  <c r="Q42" i="7" s="1"/>
  <c r="N11" i="5"/>
  <c r="O57" i="3"/>
  <c r="M15" i="2"/>
  <c r="F22" i="4"/>
  <c r="F24" i="10"/>
  <c r="F15" i="7"/>
  <c r="Q15" i="7" s="1"/>
  <c r="O61" i="3"/>
  <c r="P59" i="10"/>
  <c r="P13" i="10"/>
  <c r="P58" i="7"/>
  <c r="F34" i="5"/>
  <c r="O34" i="5" s="1"/>
  <c r="N17" i="4"/>
  <c r="M57" i="2"/>
  <c r="F22" i="1"/>
  <c r="M10" i="1"/>
  <c r="O40" i="3"/>
  <c r="N14" i="4"/>
  <c r="P26" i="10"/>
  <c r="N12" i="8"/>
  <c r="P18" i="7"/>
  <c r="N40" i="4"/>
  <c r="M56" i="2"/>
  <c r="F21" i="1"/>
  <c r="F49" i="4"/>
  <c r="O49" i="4" s="1"/>
  <c r="F49" i="1"/>
  <c r="N13" i="4"/>
  <c r="P27" i="10"/>
  <c r="F61" i="7"/>
  <c r="F6" i="7"/>
  <c r="M42" i="1"/>
  <c r="F23" i="1"/>
  <c r="F49" i="10"/>
  <c r="Q49" i="10" s="1"/>
  <c r="N15" i="9"/>
  <c r="P54" i="7"/>
  <c r="N29" i="5"/>
  <c r="F58" i="10"/>
  <c r="Q58" i="10" s="1"/>
  <c r="F32" i="9"/>
  <c r="F55" i="7"/>
  <c r="F30" i="5"/>
  <c r="O30" i="5" s="1"/>
  <c r="F11" i="4"/>
  <c r="O11" i="4" s="1"/>
  <c r="F49" i="2"/>
  <c r="F44" i="1"/>
  <c r="F60" i="1"/>
  <c r="N60" i="1" s="1"/>
  <c r="F10" i="8"/>
  <c r="F58" i="2"/>
  <c r="M13" i="1"/>
  <c r="F17" i="1"/>
  <c r="F5" i="7"/>
  <c r="Q5" i="7" s="1"/>
  <c r="F15" i="10"/>
  <c r="P64" i="7"/>
  <c r="N28" i="5"/>
  <c r="N18" i="4"/>
  <c r="M48" i="2"/>
  <c r="F55" i="1"/>
  <c r="M25" i="1"/>
  <c r="N8" i="5"/>
  <c r="F56" i="10"/>
  <c r="F11" i="9"/>
  <c r="O11" i="9" s="1"/>
  <c r="P42" i="7"/>
  <c r="F11" i="5"/>
  <c r="O11" i="5" s="1"/>
  <c r="F57" i="3"/>
  <c r="P57" i="3" s="1"/>
  <c r="F15" i="2"/>
  <c r="N22" i="4"/>
  <c r="P24" i="10"/>
  <c r="P15" i="7"/>
  <c r="F26" i="2"/>
  <c r="P52" i="10"/>
  <c r="F28" i="9"/>
  <c r="F49" i="7"/>
  <c r="F18" i="5"/>
  <c r="M47" i="1"/>
  <c r="M52" i="2"/>
  <c r="M62" i="1"/>
  <c r="F18" i="1"/>
  <c r="M61" i="2"/>
  <c r="F60" i="10"/>
  <c r="F6" i="10"/>
  <c r="P57" i="7"/>
  <c r="F35" i="5"/>
  <c r="N12" i="4"/>
  <c r="F44" i="2"/>
  <c r="N44" i="2" s="1"/>
  <c r="M48" i="1"/>
  <c r="F60" i="3"/>
  <c r="P60" i="3" s="1"/>
  <c r="M19" i="1"/>
  <c r="F61" i="10"/>
  <c r="F9" i="10"/>
  <c r="P53" i="7"/>
  <c r="F32" i="5"/>
  <c r="O32" i="5" s="1"/>
  <c r="F43" i="2"/>
  <c r="F7" i="1"/>
  <c r="N7" i="1" s="1"/>
  <c r="F40" i="10"/>
  <c r="N30" i="8"/>
  <c r="F47" i="7"/>
  <c r="N15" i="5"/>
  <c r="F48" i="10"/>
  <c r="N14" i="9"/>
  <c r="P44" i="7"/>
  <c r="N13" i="5"/>
  <c r="O62" i="3"/>
  <c r="M42" i="2"/>
  <c r="M44" i="1"/>
  <c r="M60" i="1"/>
  <c r="N10" i="8"/>
  <c r="M58" i="2"/>
  <c r="F13" i="1"/>
  <c r="M17" i="1"/>
  <c r="P5" i="7"/>
  <c r="P15" i="10"/>
  <c r="F64" i="7"/>
  <c r="Q64" i="7" s="1"/>
  <c r="F28" i="5"/>
  <c r="F18" i="4"/>
  <c r="F48" i="2"/>
  <c r="M55" i="1"/>
  <c r="F25" i="1"/>
  <c r="F8" i="5"/>
  <c r="O8" i="5" s="1"/>
  <c r="O29" i="9"/>
  <c r="P21" i="3"/>
  <c r="Q52" i="7"/>
  <c r="N39" i="1"/>
  <c r="Q42" i="10"/>
  <c r="N54" i="1"/>
  <c r="Q18" i="10"/>
  <c r="N49" i="2"/>
  <c r="N18" i="2"/>
  <c r="P17" i="3"/>
  <c r="Q41" i="10"/>
  <c r="Q22" i="10"/>
  <c r="Q45" i="7"/>
  <c r="N59" i="2"/>
  <c r="P62" i="3"/>
  <c r="N55" i="2"/>
  <c r="O47" i="4"/>
  <c r="O50" i="4"/>
  <c r="O30" i="8"/>
  <c r="Q18" i="7"/>
  <c r="Q15" i="10"/>
  <c r="O16" i="5"/>
  <c r="Q46" i="7"/>
  <c r="Q48" i="10"/>
  <c r="P13" i="3"/>
  <c r="Q29" i="7"/>
  <c r="O27" i="9"/>
  <c r="O31" i="9"/>
  <c r="O13" i="5"/>
  <c r="Q52" i="10"/>
  <c r="Q53" i="7"/>
  <c r="O46" i="4"/>
  <c r="Q17" i="7"/>
  <c r="Q44" i="7"/>
  <c r="Q21" i="7"/>
  <c r="N5" i="2"/>
  <c r="P40" i="3"/>
  <c r="O5" i="8"/>
  <c r="O45" i="4"/>
  <c r="N57" i="1"/>
  <c r="Q23" i="10"/>
  <c r="P51" i="3"/>
  <c r="O13" i="9"/>
  <c r="Q6" i="10"/>
  <c r="N25" i="2"/>
  <c r="O22" i="9"/>
  <c r="O14" i="9"/>
  <c r="Q39" i="10"/>
  <c r="N6" i="1"/>
  <c r="O12" i="4"/>
  <c r="Q57" i="7"/>
  <c r="Q56" i="10"/>
  <c r="Q43" i="10"/>
  <c r="Q60" i="7"/>
  <c r="N25" i="1"/>
  <c r="P48" i="3"/>
  <c r="N41" i="1"/>
  <c r="P6" i="3"/>
  <c r="O22" i="8"/>
  <c r="O14" i="8"/>
  <c r="N17" i="1"/>
  <c r="Q47" i="7"/>
  <c r="N42" i="2"/>
  <c r="P52" i="3"/>
  <c r="Q51" i="7"/>
  <c r="Q62" i="7"/>
  <c r="O10" i="9"/>
  <c r="N27" i="2"/>
  <c r="Q47" i="10"/>
  <c r="Q53" i="10"/>
  <c r="O8" i="4"/>
  <c r="P41" i="3"/>
  <c r="Q45" i="10"/>
  <c r="Q24" i="7"/>
  <c r="Q54" i="7"/>
  <c r="N62" i="2"/>
  <c r="O18" i="5"/>
  <c r="N60" i="2"/>
  <c r="O12" i="5"/>
  <c r="Q59" i="10"/>
  <c r="P25" i="3"/>
  <c r="O39" i="4"/>
  <c r="Q50" i="10"/>
  <c r="N44" i="1"/>
  <c r="O15" i="5"/>
  <c r="N45" i="2"/>
  <c r="Q22" i="7"/>
  <c r="O15" i="9"/>
  <c r="P59" i="3"/>
  <c r="N6" i="2"/>
  <c r="O27" i="8"/>
  <c r="O35" i="5"/>
  <c r="Q62" i="10"/>
  <c r="O41" i="4"/>
  <c r="Q17" i="10"/>
  <c r="P49" i="3"/>
  <c r="O40" i="4"/>
  <c r="O24" i="5"/>
  <c r="Q51" i="10"/>
  <c r="N22" i="2"/>
  <c r="O10" i="8"/>
  <c r="O24" i="9"/>
  <c r="O28" i="9"/>
  <c r="O33" i="5"/>
  <c r="O48" i="4"/>
  <c r="N62" i="1"/>
  <c r="N54" i="2"/>
  <c r="Q23" i="7"/>
  <c r="O9" i="9"/>
  <c r="Q58" i="7"/>
  <c r="O6" i="9"/>
  <c r="O42" i="4"/>
  <c r="N10" i="1"/>
  <c r="Q6" i="7"/>
  <c r="P50" i="3"/>
  <c r="Q43" i="7"/>
  <c r="Q9" i="10"/>
  <c r="Q24" i="10"/>
  <c r="P5" i="3"/>
  <c r="N58" i="1"/>
  <c r="N61" i="2"/>
  <c r="Q21" i="10"/>
  <c r="P39" i="3"/>
  <c r="O7" i="5"/>
  <c r="N26" i="2"/>
  <c r="Q60" i="10"/>
  <c r="N43" i="2"/>
  <c r="O26" i="8"/>
  <c r="O15" i="8"/>
  <c r="Q44" i="10"/>
  <c r="O28" i="5"/>
  <c r="N56" i="1"/>
  <c r="Q61" i="7"/>
  <c r="P15" i="3"/>
  <c r="N57" i="2"/>
  <c r="N58" i="2"/>
  <c r="O32" i="9"/>
  <c r="O5" i="9"/>
  <c r="N48" i="2"/>
  <c r="Q14" i="7"/>
  <c r="O32" i="8"/>
  <c r="Q41" i="7"/>
  <c r="N61" i="1"/>
  <c r="N27" i="1"/>
  <c r="N15" i="2"/>
  <c r="N7" i="2"/>
  <c r="Q59" i="7"/>
  <c r="N51" i="1"/>
  <c r="O17" i="5"/>
  <c r="N39" i="2"/>
  <c r="N43" i="1"/>
  <c r="N47" i="2"/>
  <c r="N21" i="1"/>
  <c r="P58" i="3"/>
  <c r="N9" i="1"/>
  <c r="Q55" i="10"/>
  <c r="P26" i="3"/>
  <c r="P23" i="3"/>
  <c r="N40" i="2"/>
  <c r="Q13" i="7"/>
  <c r="O9" i="8"/>
  <c r="Q55" i="7"/>
  <c r="N53" i="2"/>
  <c r="O23" i="9"/>
  <c r="Q13" i="10"/>
  <c r="Q14" i="10"/>
  <c r="O5" i="4"/>
  <c r="Q40" i="10"/>
  <c r="P61" i="3"/>
  <c r="N46" i="1"/>
  <c r="N50" i="2"/>
  <c r="P43" i="3"/>
  <c r="P14" i="3"/>
  <c r="P56" i="3"/>
  <c r="N50" i="1"/>
  <c r="O16" i="4"/>
  <c r="Q26" i="10"/>
  <c r="P22" i="3"/>
  <c r="O15" i="4"/>
  <c r="O20" i="4"/>
  <c r="O6" i="4"/>
  <c r="O16" i="9"/>
  <c r="O7" i="4"/>
  <c r="O31" i="5"/>
  <c r="P53" i="3"/>
  <c r="Q28" i="7"/>
  <c r="O22" i="4"/>
  <c r="O21" i="4"/>
  <c r="Q63" i="7"/>
  <c r="N21" i="2"/>
  <c r="N23" i="1"/>
  <c r="N15" i="1"/>
  <c r="Q61" i="10"/>
  <c r="P44" i="3"/>
  <c r="O13" i="4"/>
  <c r="N41" i="2"/>
  <c r="P47" i="3"/>
  <c r="N52" i="2"/>
  <c r="O9" i="4"/>
  <c r="N53" i="1"/>
  <c r="N59" i="1"/>
  <c r="N47" i="1"/>
  <c r="O25" i="5"/>
  <c r="N52" i="1"/>
  <c r="O43" i="4"/>
  <c r="N49" i="1"/>
  <c r="N45" i="1"/>
  <c r="N48" i="1"/>
  <c r="N55" i="1"/>
  <c r="N40" i="1"/>
  <c r="L26" i="8"/>
  <c r="L15" i="8"/>
  <c r="L30" i="8"/>
  <c r="L14" i="8"/>
  <c r="L10" i="8"/>
  <c r="M40" i="3"/>
  <c r="M59" i="3"/>
  <c r="M56" i="3"/>
  <c r="M61" i="3"/>
  <c r="M51" i="3"/>
  <c r="M50" i="3"/>
  <c r="M57" i="3"/>
  <c r="M60" i="3"/>
  <c r="M62" i="3"/>
  <c r="M47" i="3"/>
  <c r="M53" i="3"/>
  <c r="M52" i="3"/>
  <c r="M48" i="3"/>
  <c r="M58" i="3"/>
  <c r="M49" i="3"/>
  <c r="N16" i="1"/>
  <c r="Q49" i="7"/>
  <c r="N13" i="1"/>
  <c r="N24" i="1"/>
  <c r="N14" i="1"/>
  <c r="N26" i="1"/>
  <c r="N18" i="1"/>
  <c r="O17" i="4"/>
  <c r="N28" i="1"/>
  <c r="N5" i="1"/>
  <c r="N19" i="1"/>
  <c r="N22" i="1"/>
  <c r="O26" i="5"/>
  <c r="O6" i="5"/>
  <c r="Q25" i="7"/>
  <c r="O19" i="4"/>
  <c r="N24" i="2"/>
  <c r="N14" i="2"/>
  <c r="O18" i="4"/>
  <c r="O5" i="5" l="1"/>
  <c r="O4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<sst xmlns="http://schemas.openxmlformats.org/spreadsheetml/2006/main" count="1509" uniqueCount="142">
  <si>
    <t>Hybrid</t>
  </si>
  <si>
    <t>Decay</t>
  </si>
  <si>
    <t>$1p_0$</t>
  </si>
  <si>
    <t>$1s$</t>
  </si>
  <si>
    <t>$2s$</t>
  </si>
  <si>
    <t>$3s$</t>
  </si>
  <si>
    <t>$4s$</t>
  </si>
  <si>
    <t>INT</t>
  </si>
  <si>
    <t>$1d$</t>
  </si>
  <si>
    <t>$2d$</t>
  </si>
  <si>
    <t>$3d$</t>
  </si>
  <si>
    <t>$4d$</t>
  </si>
  <si>
    <t>Charm</t>
  </si>
  <si>
    <t>$2p_0$</t>
  </si>
  <si>
    <t>$3p_0$</t>
  </si>
  <si>
    <t>Bottom</t>
  </si>
  <si>
    <t>$1p_1$</t>
  </si>
  <si>
    <t>$2p_1$</t>
  </si>
  <si>
    <t>$3p_1$</t>
  </si>
  <si>
    <t>$1(s/d)_1$</t>
  </si>
  <si>
    <t>$1p$</t>
  </si>
  <si>
    <t>INT+</t>
  </si>
  <si>
    <t>INT-</t>
  </si>
  <si>
    <t>$2p$</t>
  </si>
  <si>
    <t>$3p$</t>
  </si>
  <si>
    <t>$4p$</t>
  </si>
  <si>
    <t>$1f$</t>
  </si>
  <si>
    <t>$2f$</t>
  </si>
  <si>
    <t>$3f$</t>
  </si>
  <si>
    <t>$4f$</t>
  </si>
  <si>
    <t>$2(s/d)_1$</t>
  </si>
  <si>
    <t>nL_J</t>
  </si>
  <si>
    <t>n'L'</t>
  </si>
  <si>
    <t>E'</t>
  </si>
  <si>
    <t>MeV</t>
  </si>
  <si>
    <t>\D E</t>
  </si>
  <si>
    <t>\a (\D E)</t>
  </si>
  <si>
    <t>1/GeV</t>
  </si>
  <si>
    <t>\Gamma</t>
  </si>
  <si>
    <t>\a \D E</t>
  </si>
  <si>
    <t>C+</t>
  </si>
  <si>
    <t>C-</t>
  </si>
  <si>
    <t>E/{E}</t>
  </si>
  <si>
    <t>Decay for spin conserved transitions</t>
  </si>
  <si>
    <t>Decay for spin flipped transitions</t>
  </si>
  <si>
    <t>Hybrid spin 0</t>
  </si>
  <si>
    <t>C^2</t>
  </si>
  <si>
    <t>C+^2</t>
  </si>
  <si>
    <t>C-^2</t>
  </si>
  <si>
    <t>K^2</t>
  </si>
  <si>
    <t>Hybrid spin 1</t>
  </si>
  <si>
    <t>Decay for spin fliped transitions</t>
  </si>
  <si>
    <t>k^2</t>
  </si>
  <si>
    <t>$3(s/d)_1$</t>
  </si>
  <si>
    <t>error</t>
  </si>
  <si>
    <t>cornell</t>
  </si>
  <si>
    <t>alpha</t>
  </si>
  <si>
    <t>multip</t>
  </si>
  <si>
    <t>d\G%</t>
  </si>
  <si>
    <t>INT&lt;&gt;</t>
  </si>
  <si>
    <t>INT&lt;r&gt;</t>
  </si>
  <si>
    <t>iNT&lt;r&gt;</t>
  </si>
  <si>
    <t>INT&lt;r&gt;+</t>
  </si>
  <si>
    <t>INT&lt;r&gt;-</t>
  </si>
  <si>
    <t>int&lt;r&gt;</t>
  </si>
  <si>
    <t>int&lt;r&gt;+</t>
  </si>
  <si>
    <t>int&lt;r&gt;-</t>
  </si>
  <si>
    <t>\Delta/mq</t>
  </si>
  <si>
    <t>rel.1</t>
  </si>
  <si>
    <t>rel.2</t>
  </si>
  <si>
    <t>GeV</t>
  </si>
  <si>
    <t>\calV</t>
  </si>
  <si>
    <t>E</t>
  </si>
  <si>
    <t>&lt;i r f&gt;</t>
  </si>
  <si>
    <t>&lt;f r f&gt;</t>
  </si>
  <si>
    <t>&lt;i|r|f&gt;\D E</t>
  </si>
  <si>
    <t>&lt;i|r|f&gt;\DE</t>
  </si>
  <si>
    <t xml:space="preserve"> </t>
  </si>
  <si>
    <t>\calV/m</t>
  </si>
  <si>
    <t>\Delta/m</t>
  </si>
  <si>
    <t>\Delta</t>
  </si>
  <si>
    <t>\a (\Delta)</t>
  </si>
  <si>
    <t>E-E'</t>
  </si>
  <si>
    <t>strong coupling</t>
  </si>
  <si>
    <t>Ei-&lt;iVi&gt;+Ef-&lt;fVf&gt;</t>
  </si>
  <si>
    <t>d\G%  *  \Gamma</t>
  </si>
  <si>
    <t>computed decay rate</t>
  </si>
  <si>
    <t>3*ARREL(2)*110/(\Delta)</t>
  </si>
  <si>
    <t>(&lt;i|r|f&gt;\Delta)^2/120</t>
  </si>
  <si>
    <t>\Delta/(16 m)</t>
  </si>
  <si>
    <t xml:space="preserve">\calV/(8 m) </t>
  </si>
  <si>
    <t xml:space="preserve">square sum relative errors ^2 </t>
  </si>
  <si>
    <t>&lt;i r f&gt; \D E</t>
  </si>
  <si>
    <t>&lt;i r f&gt;\D E</t>
  </si>
  <si>
    <t>&lt;i r f &gt;\D E</t>
  </si>
  <si>
    <t>GeV^-1</t>
  </si>
  <si>
    <t>\calV /m</t>
  </si>
  <si>
    <t>&lt; i r f &gt;\D E</t>
  </si>
  <si>
    <t>&lt;I r f&gt;\D E</t>
  </si>
  <si>
    <t>&lt;i f&gt;\D E/m</t>
  </si>
  <si>
    <t>&lt;i | f&gt;\D E/m</t>
  </si>
  <si>
    <t>&amp;</t>
  </si>
  <si>
    <t>\D E&gt;800</t>
  </si>
  <si>
    <t>&lt;i|r|f&gt;\DE&lt;1</t>
  </si>
  <si>
    <t>green:</t>
  </si>
  <si>
    <t>&lt;i|f&gt;\DE&lt;1</t>
  </si>
  <si>
    <t>&lt;i|r|f&gt;\DE&lt;2</t>
  </si>
  <si>
    <t>or (&lt;i|r|f&gt;\Delta)^2/24 for spin-flip</t>
  </si>
  <si>
    <t>or 5\calV/(24 m) for spin-flip</t>
  </si>
  <si>
    <t>&lt;i r f&gt;\DE</t>
  </si>
  <si>
    <t>&lt;i f&gt;\DE/m</t>
  </si>
  <si>
    <t>INT&lt;i r f &gt;</t>
  </si>
  <si>
    <t>INT&lt;i f&gt;</t>
  </si>
  <si>
    <t>INT&lt;i r f&gt;+</t>
  </si>
  <si>
    <t>INT&lt;i r f&gt;-</t>
  </si>
  <si>
    <t>INTT&lt;i f&gt;+</t>
  </si>
  <si>
    <t>INTT&lt;i f&gt;-</t>
  </si>
  <si>
    <t>int&lt;irf&gt;</t>
  </si>
  <si>
    <t>INT&lt;if&gt;</t>
  </si>
  <si>
    <t>INT+&lt;if&gt;</t>
  </si>
  <si>
    <t>INT-&lt;if&gt;</t>
  </si>
  <si>
    <t>int&lt;irf&gt;+</t>
  </si>
  <si>
    <t>int&lt;irf&gt;-</t>
  </si>
  <si>
    <t>INT&lt;irf&gt;</t>
  </si>
  <si>
    <t>INT+&lt;irf&gt;</t>
  </si>
  <si>
    <t>INT-&lt;irf&gt;</t>
  </si>
  <si>
    <t>angular coefficient</t>
  </si>
  <si>
    <t>*</t>
  </si>
  <si>
    <t>integral for transition of initial and final wafe-functions without coeficients</t>
  </si>
  <si>
    <t>* for spin flip &lt;i r f&gt; is just abs(INT&lt;irf&gt;) without angular coefficient K^2, or consequently whn we have two wave-functions. Used for multip</t>
  </si>
  <si>
    <t>w/o angular coefficient</t>
  </si>
  <si>
    <t>* for spin flip &lt;i r f&gt; is just abs(INT&lt;irf&gt;) without angular coefficient, or consequently when we have two wave-functions. Used for multip</t>
  </si>
  <si>
    <t>for the multip we use   abs(INT&lt;i r f&gt;)  without angular coefficient</t>
  </si>
  <si>
    <t>errorE</t>
  </si>
  <si>
    <t>3*(0.215*(&lt;f|r|f&gt;)-0.028)/(\Delta/1000)</t>
  </si>
  <si>
    <t>[als(\Delta/2)-als(2\Delta)]/als(\Delta)</t>
  </si>
  <si>
    <t>where als() is the strong coupling</t>
  </si>
  <si>
    <t>\a(\Delta)</t>
  </si>
  <si>
    <t>or 3*ARREL(2)*33/(\Delta) for bottomonium</t>
  </si>
  <si>
    <t>* for spin conserved  &lt;i r f&gt; = abs(INT&lt;i r f&gt;)  sqrt(angular coefficient: C^2) or consequently when we have two wave-functions. Used for \Gamma</t>
  </si>
  <si>
    <t>while &lt;i  f&gt; = abs(INT&lt;if&gt;)  angular coefficient, or consequently when we have two wave-functions. Used for \Gamma</t>
  </si>
  <si>
    <t>while &lt;i  f&gt; = abs(INT&lt;if&gt;)  angular coefficient sqrt(K^2), or consequently whn we have two wave-functions. Used for \Gamma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</si>
</sst>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2" borderId="0" xfId="0" applyFill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164" fontId="1" fillId="0" borderId="0" xfId="0" applyNumberFormat="1" applyFont="1"/>
    <xf numFmtId="1" fontId="0" fillId="0" borderId="0" xfId="0" applyNumberFormat="1"/>
    <xf numFmtId="165" fontId="0" fillId="3" borderId="0" xfId="0" applyNumberFormat="1" applyFill="1"/>
    <xf numFmtId="1" fontId="0" fillId="3" borderId="0" xfId="0" applyNumberFormat="1" applyFill="1"/>
    <xf numFmtId="2" fontId="0" fillId="0" borderId="0" xfId="0" applyNumberFormat="1"/>
    <xf numFmtId="2" fontId="0" fillId="4" borderId="0" xfId="0" applyNumberFormat="1" applyFill="1"/>
    <xf numFmtId="1" fontId="0" fillId="4" borderId="0" xfId="0" applyNumberFormat="1" applyFill="1"/>
    <xf numFmtId="0" fontId="0" fillId="4" borderId="0" xfId="0" applyFill="1"/>
    <xf numFmtId="165" fontId="0" fillId="4" borderId="0" xfId="0" applyNumberFormat="1" applyFill="1"/>
    <xf numFmtId="164" fontId="0" fillId="4" borderId="0" xfId="0" applyNumberFormat="1" applyFill="1"/>
    <xf numFmtId="0" fontId="5" fillId="0" borderId="0" xfId="0" applyFont="1"/>
    <xf numFmtId="0" fontId="2" fillId="4" borderId="0" xfId="0" applyFont="1" applyFill="1"/>
    <xf numFmtId="0" fontId="0" fillId="5" borderId="0" xfId="0" applyFill="1"/>
    <xf numFmtId="164" fontId="0" fillId="5" borderId="0" xfId="0" applyNumberFormat="1" applyFill="1"/>
    <xf numFmtId="0" fontId="3" fillId="0" borderId="0" xfId="0" applyFont="1"/>
    <xf numFmtId="0" fontId="7" fillId="0" borderId="0" xfId="0" applyFont="1"/>
    <xf numFmtId="1" fontId="0" fillId="2" borderId="0" xfId="0" applyNumberFormat="1" applyFill="1"/>
    <xf numFmtId="165" fontId="0" fillId="2" borderId="0" xfId="0" applyNumberFormat="1" applyFill="1"/>
    <xf numFmtId="164" fontId="3" fillId="0" borderId="0" xfId="0" applyNumberFormat="1" applyFont="1"/>
    <xf numFmtId="2" fontId="0" fillId="3" borderId="0" xfId="0" applyNumberFormat="1" applyFill="1"/>
    <xf numFmtId="0" fontId="4" fillId="0" borderId="0" xfId="0" applyFont="1"/>
    <xf numFmtId="0" fontId="8" fillId="2" borderId="0" xfId="0" applyFont="1" applyFill="1"/>
    <xf numFmtId="2" fontId="3" fillId="4" borderId="0" xfId="0" applyNumberFormat="1" applyFont="1" applyFill="1"/>
    <xf numFmtId="0" fontId="6" fillId="0" borderId="0" xfId="0" applyFont="1"/>
    <xf numFmtId="0" fontId="3" fillId="5" borderId="0" xfId="0" applyFont="1" applyFill="1"/>
    <xf numFmtId="2" fontId="10" fillId="0" borderId="0" xfId="0" applyNumberFormat="1" applyFont="1"/>
    <xf numFmtId="2" fontId="10" fillId="4" borderId="0" xfId="0" applyNumberFormat="1" applyFont="1" applyFill="1"/>
    <xf numFmtId="0" fontId="10" fillId="0" borderId="0" xfId="0" applyFont="1"/>
    <xf numFmtId="0" fontId="3" fillId="2" borderId="0" xfId="0" applyFont="1" applyFill="1"/>
    <xf numFmtId="164" fontId="10" fillId="4" borderId="0" xfId="0" applyNumberFormat="1" applyFont="1" applyFill="1"/>
    <xf numFmtId="1" fontId="10" fillId="4" borderId="0" xfId="0" applyNumberFormat="1" applyFont="1" applyFill="1"/>
    <xf numFmtId="2" fontId="3" fillId="0" borderId="0" xfId="0" applyNumberFormat="1" applyFont="1"/>
    <xf numFmtId="0" fontId="10" fillId="4" borderId="0" xfId="0" applyFont="1" applyFill="1"/>
    <xf numFmtId="1" fontId="3" fillId="0" borderId="0" xfId="0" applyNumberFormat="1" applyFont="1"/>
    <xf numFmtId="0" fontId="1" fillId="4" borderId="0" xfId="0" applyFont="1" applyFill="1"/>
    <xf numFmtId="2" fontId="1" fillId="4" borderId="0" xfId="0" applyNumberFormat="1" applyFont="1" applyFill="1"/>
    <xf numFmtId="1" fontId="1" fillId="4" borderId="0" xfId="0" applyNumberFormat="1" applyFont="1" applyFill="1"/>
    <xf numFmtId="165" fontId="1" fillId="4" borderId="0" xfId="0" applyNumberFormat="1" applyFont="1" applyFill="1"/>
    <xf numFmtId="2" fontId="11" fillId="4" borderId="0" xfId="0" applyNumberFormat="1" applyFont="1" applyFill="1"/>
    <xf numFmtId="164" fontId="1" fillId="4" borderId="0" xfId="0" applyNumberFormat="1" applyFont="1" applyFill="1"/>
    <xf numFmtId="0" fontId="8" fillId="0" borderId="0" xfId="0" applyFont="1"/>
    <xf numFmtId="164" fontId="10" fillId="0" borderId="0" xfId="0" applyNumberFormat="1" applyFont="1"/>
    <xf numFmtId="2" fontId="0" fillId="0" borderId="1" xfId="0" applyNumberFormat="1" applyBorder="1"/>
    <xf numFmtId="0" fontId="10" fillId="5" borderId="0" xfId="0" applyFont="1" applyFill="1"/>
    <xf numFmtId="164" fontId="3" fillId="4" borderId="0" xfId="0" applyNumberFormat="1" applyFont="1" applyFill="1"/>
    <xf numFmtId="164" fontId="3" fillId="2" borderId="0" xfId="0" applyNumberFormat="1" applyFont="1" applyFill="1"/>
    <xf numFmtId="0" fontId="3" fillId="6" borderId="0" xfId="0" applyFont="1" applyFill="1"/>
    <xf numFmtId="0" fontId="3" fillId="7" borderId="0" xfId="0" applyFont="1" applyFill="1"/>
    <xf numFmtId="0" fontId="0" fillId="7" borderId="0" xfId="0" applyFill="1"/>
    <xf numFmtId="2" fontId="12" fillId="4" borderId="0" xfId="0" applyNumberFormat="1" applyFont="1" applyFill="1"/>
    <xf numFmtId="165" fontId="10" fillId="4" borderId="0" xfId="0" applyNumberFormat="1" applyFont="1" applyFill="1"/>
    <xf numFmtId="0" fontId="13" fillId="4" borderId="0" xfId="0" applyFont="1" applyFill="1"/>
    <xf numFmtId="2" fontId="13" fillId="0" borderId="0" xfId="0" applyNumberFormat="1" applyFont="1"/>
    <xf numFmtId="1" fontId="12" fillId="4" borderId="0" xfId="0" applyNumberFormat="1" applyFont="1" applyFill="1"/>
    <xf numFmtId="2" fontId="8" fillId="4" borderId="0" xfId="0" applyNumberFormat="1" applyFont="1" applyFill="1"/>
    <xf numFmtId="1" fontId="8" fillId="4" borderId="0" xfId="0" applyNumberFormat="1" applyFont="1" applyFill="1"/>
    <xf numFmtId="165" fontId="8" fillId="4" borderId="0" xfId="0" applyNumberFormat="1" applyFont="1" applyFill="1"/>
    <xf numFmtId="0" fontId="3" fillId="4" borderId="0" xfId="0" applyFont="1" applyFill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335280</xdr:colOff>
      <xdr:row>0</xdr:row>
      <xdr:rowOff>129540</xdr:rowOff>
    </xdr:from>
    <xdr:to>
      <xdr:col>9</xdr:col>
      <xdr:colOff>403860</xdr:colOff>
      <xdr:row>55</xdr:row>
      <xdr:rowOff>45720</xdr:rowOff>
    </xdr:to>
    <xdr:sp macro="" textlink="">
      <xdr:nvSpPr>
        <xdr:cNvPr id="2" name="QuadreDeText 1">
          <a:extLst>
            <a:ext uri="{FF2B5EF4-FFF2-40B4-BE49-F238E27FC236}">
              <a16:creationId xmlns:a16="http://schemas.microsoft.com/office/drawing/2014/main" id="{FBD80EA7-FD09-D823-5C4B-D32912690DB9}"/>
            </a:ext>
          </a:extLst>
        </xdr:cNvPr>
        <xdr:cNvSpPr txBox="1"/>
      </xdr:nvSpPr>
      <xdr:spPr>
        <a:xfrm>
          <a:off x="335280" y="129540"/>
          <a:ext cx="5554980" cy="9974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Function als(x As Double) As Double</a:t>
          </a:r>
        </a:p>
        <a:p>
          <a:r>
            <a:rPr lang="en-GB" sz="1100"/>
            <a:t>    ' Calculates the alphasB formula for given x, clamped between 0 and 1</a:t>
          </a:r>
        </a:p>
        <a:p>
          <a:r>
            <a:rPr lang="en-GB" sz="1100"/>
            <a:t>    Dim val As Double</a:t>
          </a:r>
        </a:p>
        <a:p>
          <a:r>
            <a:rPr lang="en-GB" sz="1100"/>
            <a:t>    </a:t>
          </a:r>
        </a:p>
        <a:p>
          <a:r>
            <a:rPr lang="en-GB" sz="1100"/>
            <a:t>    ' Original formula</a:t>
          </a:r>
        </a:p>
        <a:p>
          <a:r>
            <a:rPr lang="en-GB" sz="1100"/>
            <a:t>    val = 0.175082 - 0.000774928 / x ^ 6 + 0.0128554 / x ^ 5 - 0.0479785 / x ^ 4 + _</a:t>
          </a:r>
        </a:p>
        <a:p>
          <a:r>
            <a:rPr lang="en-GB" sz="1100"/>
            <a:t>          0.111682 / x ^ 3 - 0.120244 / x ^ 2 + 0.278722 / x - 0.00282622 * x</a:t>
          </a:r>
        </a:p>
        <a:p>
          <a:r>
            <a:rPr lang="en-GB" sz="1100"/>
            <a:t>    </a:t>
          </a:r>
        </a:p>
        <a:p>
          <a:r>
            <a:rPr lang="en-GB" sz="1100"/>
            <a:t>    ' Clamp the result between 0 and 1</a:t>
          </a:r>
        </a:p>
        <a:p>
          <a:r>
            <a:rPr lang="en-GB" sz="1100"/>
            <a:t>    If val &lt; 0 Then</a:t>
          </a:r>
        </a:p>
        <a:p>
          <a:r>
            <a:rPr lang="en-GB" sz="1100"/>
            <a:t>        als = 0.0001</a:t>
          </a:r>
        </a:p>
        <a:p>
          <a:r>
            <a:rPr lang="en-GB" sz="1100"/>
            <a:t>    ElseIf val &gt; 1 Then</a:t>
          </a:r>
        </a:p>
        <a:p>
          <a:r>
            <a:rPr lang="en-GB" sz="1100"/>
            <a:t>        als = 1</a:t>
          </a:r>
        </a:p>
        <a:p>
          <a:r>
            <a:rPr lang="en-GB" sz="1100"/>
            <a:t>    Else</a:t>
          </a:r>
        </a:p>
        <a:p>
          <a:r>
            <a:rPr lang="en-GB" sz="1100"/>
            <a:t>        als = val</a:t>
          </a:r>
        </a:p>
        <a:p>
          <a:r>
            <a:rPr lang="en-GB" sz="1100"/>
            <a:t>    End If</a:t>
          </a:r>
        </a:p>
        <a:p>
          <a:r>
            <a:rPr lang="en-GB" sz="1100"/>
            <a:t>End Function</a:t>
          </a:r>
        </a:p>
        <a:p>
          <a:endParaRPr lang="en-GB" sz="1100"/>
        </a:p>
        <a:p>
          <a:endParaRPr lang="en-GB" sz="1100"/>
        </a:p>
        <a:p>
          <a:endParaRPr lang="en-GB" sz="1100"/>
        </a:p>
        <a:p>
          <a:r>
            <a:rPr lang="en-GB" sz="1100"/>
            <a:t>Function das(x As Double) As Double</a:t>
          </a:r>
        </a:p>
        <a:p>
          <a:r>
            <a:rPr lang="en-GB" sz="1100"/>
            <a:t>    das = (als(x / 2) - als(2 * x)) / 2</a:t>
          </a:r>
        </a:p>
        <a:p>
          <a:r>
            <a:rPr lang="en-GB" sz="1100"/>
            <a:t>End Function</a:t>
          </a:r>
        </a:p>
        <a:p>
          <a:endParaRPr lang="en-GB" sz="1100"/>
        </a:p>
        <a:p>
          <a:endParaRPr lang="en-GB" sz="1100"/>
        </a:p>
        <a:p>
          <a:endParaRPr lang="en-GB" sz="1100"/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VgC(x As Double) As Double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sigma = 0.215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kappa = 0.240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Egc = -0.028-0.428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mc = 1.47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VgC = sigma * x - kappa / x + 2 * mc + Egc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Function</a:t>
          </a:r>
        </a:p>
        <a:p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VgB(x As Double) As Double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sigma = 0.215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kappa = 0.240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Egc = -0.028-0.423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mb = 4.88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VgB = sigma * x - kappa / x + 2 * mb + Egc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Function</a:t>
          </a:r>
          <a:endParaRPr lang="en-GB">
            <a:effectLst/>
          </a:endParaRPr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</xdr:txBody>
    </xdr:sp>
    <xdr:clientData/>
  </xdr:twoCellAnchor>
  <xdr:twoCellAnchor>
    <xdr:from>
      <xdr:col>10</xdr:col>
      <xdr:colOff>396240</xdr:colOff>
      <xdr:row>1</xdr:row>
      <xdr:rowOff>99060</xdr:rowOff>
    </xdr:from>
    <xdr:to>
      <xdr:col>18</xdr:col>
      <xdr:colOff>594360</xdr:colOff>
      <xdr:row>23</xdr:row>
      <xdr:rowOff>160020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F9FDBF9-6E22-E4A9-3F18-3BF6DF40EA8D}"/>
            </a:ext>
          </a:extLst>
        </xdr:cNvPr>
        <xdr:cNvSpPr/>
      </xdr:nvSpPr>
      <xdr:spPr>
        <a:xfrm>
          <a:off x="6492240" y="281940"/>
          <a:ext cx="5074920" cy="40843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556260</xdr:colOff>
      <xdr:row>1</xdr:row>
      <xdr:rowOff>160020</xdr:rowOff>
    </xdr:from>
    <xdr:to>
      <xdr:col>18</xdr:col>
      <xdr:colOff>502920</xdr:colOff>
      <xdr:row>23</xdr:row>
      <xdr:rowOff>91440</xdr:rowOff>
    </xdr:to>
    <xdr:sp macro="" textlink="">
      <xdr:nvSpPr>
        <xdr:cNvPr id="5" name="QuadreDeText 4">
          <a:extLst>
            <a:ext uri="{FF2B5EF4-FFF2-40B4-BE49-F238E27FC236}">
              <a16:creationId xmlns:a16="http://schemas.microsoft.com/office/drawing/2014/main" id="{2DB66640-BEAB-07E2-3F34-4AAED9B963C3}"/>
            </a:ext>
          </a:extLst>
        </xdr:cNvPr>
        <xdr:cNvSpPr txBox="1"/>
      </xdr:nvSpPr>
      <xdr:spPr>
        <a:xfrm>
          <a:off x="6652260" y="342900"/>
          <a:ext cx="4823460" cy="39547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b="1"/>
            <a:t>1. Activa la pestanya Desenvolupador</a:t>
          </a:r>
        </a:p>
        <a:p>
          <a:r>
            <a:rPr lang="en-GB"/>
            <a:t>Ves a </a:t>
          </a:r>
          <a:r>
            <a:rPr lang="en-GB" b="1"/>
            <a:t>Fitxer → Opcions → Personalitza la cinta d’opcions</a:t>
          </a:r>
          <a:r>
            <a:rPr lang="en-GB"/>
            <a:t>.</a:t>
          </a:r>
        </a:p>
        <a:p>
          <a:r>
            <a:rPr lang="en-GB"/>
            <a:t>A la llista de la dreta, marca </a:t>
          </a:r>
          <a:r>
            <a:rPr lang="en-GB" b="1"/>
            <a:t>Desenvolupador</a:t>
          </a:r>
          <a:r>
            <a:rPr lang="en-GB"/>
            <a:t>.</a:t>
          </a:r>
        </a:p>
        <a:p>
          <a:r>
            <a:rPr lang="en-GB"/>
            <a:t>Prem </a:t>
          </a:r>
          <a:r>
            <a:rPr lang="en-GB" b="1"/>
            <a:t>D’acord</a:t>
          </a:r>
          <a:r>
            <a:rPr lang="en-GB"/>
            <a:t> → ara et sortirà la pestanya </a:t>
          </a:r>
          <a:r>
            <a:rPr lang="en-GB" b="1"/>
            <a:t>Desenvolupador</a:t>
          </a:r>
          <a:r>
            <a:rPr lang="en-GB"/>
            <a:t> a la cinta de menús.</a:t>
          </a:r>
        </a:p>
        <a:p>
          <a:br>
            <a:rPr lang="en-GB"/>
          </a:br>
          <a:endParaRPr lang="en-GB"/>
        </a:p>
        <a:p>
          <a:r>
            <a:rPr lang="en-GB" b="1"/>
            <a:t>2. Obre l’editor de VBA</a:t>
          </a:r>
        </a:p>
        <a:p>
          <a:r>
            <a:rPr lang="en-GB"/>
            <a:t>A la pestanya </a:t>
          </a:r>
          <a:r>
            <a:rPr lang="en-GB" b="1"/>
            <a:t>Desenvolupador</a:t>
          </a:r>
          <a:r>
            <a:rPr lang="en-GB"/>
            <a:t>, fes clic a </a:t>
          </a:r>
          <a:r>
            <a:rPr lang="en-GB" b="1"/>
            <a:t>Visual Basic</a:t>
          </a:r>
          <a:r>
            <a:rPr lang="en-GB"/>
            <a:t>.</a:t>
          </a:r>
        </a:p>
        <a:p>
          <a:endParaRPr lang="en-GB" sz="1100"/>
        </a:p>
        <a:p>
          <a:r>
            <a:rPr lang="en-GB" b="1"/>
            <a:t>3. Crear un mòdul nou</a:t>
          </a:r>
        </a:p>
        <a:p>
          <a:r>
            <a:rPr lang="en-GB"/>
            <a:t>A l’editor de VBA, ves al menú </a:t>
          </a:r>
          <a:r>
            <a:rPr lang="en-GB" b="1"/>
            <a:t>Inserir → Mòdul</a:t>
          </a:r>
          <a:r>
            <a:rPr lang="en-GB"/>
            <a:t>.</a:t>
          </a:r>
          <a:br>
            <a:rPr lang="en-GB"/>
          </a:br>
          <a:r>
            <a:rPr lang="en-GB"/>
            <a:t>→ Et sortirà un full en blanc on pots escriure codi.</a:t>
          </a:r>
        </a:p>
        <a:p>
          <a:endParaRPr lang="en-GB" u="sng"/>
        </a:p>
        <a:p>
          <a:r>
            <a:rPr lang="en-GB" b="1"/>
            <a:t>4. Notes importants</a:t>
          </a:r>
        </a:p>
        <a:p>
          <a:r>
            <a:rPr lang="en-GB"/>
            <a:t>Desa el fitxer ctrl+s</a:t>
          </a:r>
        </a:p>
        <a:p>
          <a:endParaRPr lang="en-GB"/>
        </a:p>
        <a:p>
          <a:r>
            <a:rPr lang="en-GB"/>
            <a:t>Ves a la pestanya </a:t>
          </a:r>
          <a:r>
            <a:rPr lang="en-GB" b="1"/>
            <a:t>Fórmules</a:t>
          </a:r>
          <a:r>
            <a:rPr lang="en-GB"/>
            <a:t> </a:t>
          </a:r>
        </a:p>
        <a:p>
          <a:r>
            <a:rPr lang="en-GB"/>
            <a:t>A la part dreta hi ha el grup </a:t>
          </a:r>
          <a:r>
            <a:rPr lang="en-GB" b="1"/>
            <a:t>Opcions de càlcul</a:t>
          </a:r>
          <a:r>
            <a:rPr lang="en-GB"/>
            <a:t> → fes clic a </a:t>
          </a:r>
          <a:r>
            <a:rPr lang="en-GB" b="1"/>
            <a:t>Calcula ara</a:t>
          </a:r>
          <a:r>
            <a:rPr lang="en-GB"/>
            <a:t> (</a:t>
          </a:r>
          <a:r>
            <a:rPr lang="en-GB" i="1"/>
            <a:t>Calculate Now</a:t>
          </a:r>
          <a:r>
            <a:rPr lang="en-GB"/>
            <a:t>) → això és el mateix que F9.</a:t>
          </a:r>
        </a:p>
        <a:p>
          <a:endParaRPr lang="en-GB"/>
        </a:p>
        <a:p>
          <a:endParaRPr lang="en-GB"/>
        </a:p>
        <a:p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8AB3-ED84-481C-96A4-36EF7603B3E7}">
  <sheetPr codeName="Full11">
    <pageSetUpPr fitToPage="1"/>
  </sheetPr>
  <dimension ref="A1:Z58"/>
  <sheetViews>
    <sheetView tabSelected="1" zoomScale="90" zoomScaleNormal="90" workbookViewId="0">
      <selection activeCell="E61" sqref="E61"/>
    </sheetView>
  </sheetViews>
  <sheetFormatPr defaultRowHeight="14.4" x14ac:dyDescent="0.3"/>
  <cols>
    <col min="1" max="1" width="11.21875" customWidth="1"/>
    <col min="2" max="2" width="9.21875" customWidth="1"/>
    <col min="3" max="3" width="7.88671875" bestFit="1" customWidth="1"/>
    <col min="4" max="4" width="7.88671875" customWidth="1"/>
    <col min="5" max="5" width="6" bestFit="1" customWidth="1"/>
    <col min="6" max="6" width="9.44140625" bestFit="1" customWidth="1"/>
    <col min="7" max="7" width="6.109375" customWidth="1"/>
    <col min="8" max="8" width="7.6640625" bestFit="1" customWidth="1"/>
    <col min="9" max="9" width="9.44140625" bestFit="1" customWidth="1"/>
    <col min="10" max="10" width="10" bestFit="1" customWidth="1"/>
    <col min="11" max="11" width="9.44140625" bestFit="1" customWidth="1"/>
    <col min="12" max="12" width="10" bestFit="1" customWidth="1"/>
    <col min="13" max="13" width="8.109375" customWidth="1"/>
    <col min="14" max="14" width="8.109375" bestFit="1" customWidth="1"/>
    <col min="15" max="15" width="8" customWidth="1"/>
    <col min="16" max="16" width="8.109375" bestFit="1" customWidth="1"/>
    <col min="17" max="17" width="7.5546875" customWidth="1"/>
    <col min="18" max="18" width="6.5546875" bestFit="1" customWidth="1"/>
    <col min="19" max="19" width="6.109375" bestFit="1" customWidth="1"/>
    <col min="20" max="20" width="8.44140625" bestFit="1" customWidth="1"/>
    <col min="21" max="21" width="8.77734375" bestFit="1" customWidth="1"/>
    <col min="23" max="23" width="8.77734375" bestFit="1" customWidth="1"/>
  </cols>
  <sheetData>
    <row r="1" spans="1:26" x14ac:dyDescent="0.3">
      <c r="A1" t="s">
        <v>43</v>
      </c>
    </row>
    <row r="2" spans="1:26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 t="s">
        <v>127</v>
      </c>
      <c r="K2" s="1" t="s">
        <v>127</v>
      </c>
      <c r="L2" s="1"/>
      <c r="M2" s="1"/>
      <c r="N2" s="1"/>
    </row>
    <row r="3" spans="1:26" x14ac:dyDescent="0.3">
      <c r="A3" s="1" t="s">
        <v>31</v>
      </c>
      <c r="B3" s="1" t="s">
        <v>72</v>
      </c>
      <c r="C3" s="1" t="s">
        <v>32</v>
      </c>
      <c r="D3" s="1" t="s">
        <v>33</v>
      </c>
      <c r="E3" s="1" t="s">
        <v>80</v>
      </c>
      <c r="F3" s="1" t="s">
        <v>81</v>
      </c>
      <c r="G3" s="1" t="s">
        <v>46</v>
      </c>
      <c r="H3" s="1" t="s">
        <v>123</v>
      </c>
      <c r="I3" s="1" t="s">
        <v>79</v>
      </c>
      <c r="J3" s="1" t="s">
        <v>75</v>
      </c>
      <c r="K3" s="34" t="s">
        <v>73</v>
      </c>
      <c r="L3" s="34" t="s">
        <v>74</v>
      </c>
      <c r="M3" s="34" t="s">
        <v>78</v>
      </c>
      <c r="N3" s="34" t="s">
        <v>38</v>
      </c>
      <c r="O3" s="20"/>
      <c r="P3" s="20"/>
      <c r="Q3" s="20"/>
      <c r="R3" s="20"/>
      <c r="S3" s="20"/>
      <c r="T3" s="20"/>
      <c r="U3" s="20"/>
    </row>
    <row r="4" spans="1:26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34" t="s">
        <v>70</v>
      </c>
      <c r="L4" s="34" t="s">
        <v>70</v>
      </c>
      <c r="M4" s="34"/>
      <c r="N4" s="34" t="s">
        <v>34</v>
      </c>
      <c r="O4" s="34" t="s">
        <v>133</v>
      </c>
      <c r="P4" s="34" t="s">
        <v>56</v>
      </c>
      <c r="Q4" s="51" t="s">
        <v>57</v>
      </c>
      <c r="R4" s="34" t="s">
        <v>55</v>
      </c>
      <c r="S4" s="34" t="s">
        <v>68</v>
      </c>
      <c r="T4" s="34" t="s">
        <v>69</v>
      </c>
      <c r="U4" s="34" t="s">
        <v>58</v>
      </c>
      <c r="V4" s="1" t="s">
        <v>54</v>
      </c>
      <c r="W4" s="24"/>
    </row>
    <row r="5" spans="1:26" x14ac:dyDescent="0.3">
      <c r="A5" s="13" t="s">
        <v>13</v>
      </c>
      <c r="B5" s="13">
        <v>4917</v>
      </c>
      <c r="C5" s="13" t="s">
        <v>3</v>
      </c>
      <c r="D5" s="13">
        <v>3068</v>
      </c>
      <c r="E5" s="13">
        <f>$B$5-D5</f>
        <v>1849</v>
      </c>
      <c r="F5" s="10" cm="1">
        <f t="array" ref="F5">als(E5/1000)</f>
        <v>0.29956492129142714</v>
      </c>
      <c r="G5" s="10">
        <v>0.33333333333333331</v>
      </c>
      <c r="H5" s="10">
        <v>0.51032911973339501</v>
      </c>
      <c r="I5" s="37">
        <f t="shared" ref="I5:I6" si="0">E5/1470</f>
        <v>1.2578231292517006</v>
      </c>
      <c r="J5" s="55">
        <f>SQRT(G5)*ABS(H5/1000)*E5</f>
        <v>0.54478687245410029</v>
      </c>
      <c r="K5" s="10">
        <f>SQRT(G5)*ABS(H5)</f>
        <v>0.29463865465338035</v>
      </c>
      <c r="L5" s="10">
        <v>2.0555394826094102</v>
      </c>
      <c r="M5" s="10" cm="1">
        <f t="array" ref="M5">(E5+2*D5-3712-VgC(L5)*1000)/1470</f>
        <v>0.99579366051401763</v>
      </c>
      <c r="N5" s="42">
        <f>(4/3)*F5*(1/3)*(1/2)*E5^3*G5*(H5/1000)^2</f>
        <v>36.531593963885896</v>
      </c>
      <c r="O5" s="10">
        <f>3*SQRT(2)*110/(E5)</f>
        <v>0.25240155520990881</v>
      </c>
      <c r="P5" s="10" cm="1">
        <f t="array" ref="P5">das(E5/1000)/(F5)</f>
        <v>0.32304137042215969</v>
      </c>
      <c r="Q5" s="3">
        <f>(ABS(H5)*(E5/1000))^2/120</f>
        <v>7.4198184099580032E-3</v>
      </c>
      <c r="R5" s="10">
        <f>3*(0.215*L5-0.028)/(E5/1000)</f>
        <v>0.67161869458251466</v>
      </c>
      <c r="S5" s="3">
        <f>I5^2/16</f>
        <v>9.888243903003377E-2</v>
      </c>
      <c r="T5" s="10">
        <f>M5/8</f>
        <v>0.1244742075642522</v>
      </c>
      <c r="U5" s="10">
        <f>SQRT(O5^2+P5^2+Q5^2+R5^2+S5^2+T5^2)</f>
        <v>0.80278301040308675</v>
      </c>
      <c r="V5" s="42">
        <f>U5*N5</f>
        <v>29.326942977151553</v>
      </c>
      <c r="W5" s="3"/>
      <c r="X5" s="10"/>
      <c r="Y5" s="16"/>
    </row>
    <row r="6" spans="1:26" x14ac:dyDescent="0.3">
      <c r="A6" s="13" t="s">
        <v>14</v>
      </c>
      <c r="B6" s="13">
        <v>5315</v>
      </c>
      <c r="C6" s="13" t="s">
        <v>3</v>
      </c>
      <c r="D6" s="13">
        <v>3068</v>
      </c>
      <c r="E6" s="13">
        <f>$B$6-D6</f>
        <v>2247</v>
      </c>
      <c r="F6" s="10" cm="1">
        <f t="array" ref="F6">als(E6/1000)</f>
        <v>0.27713834406569038</v>
      </c>
      <c r="G6" s="10">
        <v>0.33333333333333331</v>
      </c>
      <c r="H6" s="10">
        <v>0.200752911774225</v>
      </c>
      <c r="I6" s="37">
        <f t="shared" si="0"/>
        <v>1.5285714285714285</v>
      </c>
      <c r="J6" s="41">
        <f t="shared" ref="J6:J8" si="1">SQRT(G6)*ABS(H6/1000)*E6</f>
        <v>0.26043796797730212</v>
      </c>
      <c r="K6" s="10">
        <f t="shared" ref="K6:K8" si="2">SQRT(G6)*ABS(H6)</f>
        <v>0.11590474765344999</v>
      </c>
      <c r="L6" s="10">
        <v>2.0555394826094102</v>
      </c>
      <c r="M6" s="10" cm="1">
        <f t="array" ref="M6">(E6+2*D6-3712-VgC(L6)*1000)/1470</f>
        <v>1.2665419598337455</v>
      </c>
      <c r="N6" s="42">
        <f t="shared" ref="N6:N8" si="3">(4/3)*F6*(1/3)*(1/2)*E6^3*G6*(H6/1000)^2</f>
        <v>9.3863290019713954</v>
      </c>
      <c r="O6" s="10">
        <f t="shared" ref="O6:O8" si="4">3*SQRT(2)*110/(E6)</f>
        <v>0.20769491570232373</v>
      </c>
      <c r="P6" s="10" cm="1">
        <f t="array" ref="P6">das(E6/1000)/(F6)</f>
        <v>0.28974115982341148</v>
      </c>
      <c r="Q6" s="3">
        <f t="shared" ref="Q6:Q13" si="5">(ABS(H6)*(E6/1000))^2/120</f>
        <v>1.6956983791036563E-3</v>
      </c>
      <c r="R6" s="10">
        <f t="shared" ref="R6:R13" si="6">3*(0.215*L6-0.028)/(E6/1000)</f>
        <v>0.55265819594262111</v>
      </c>
      <c r="S6" s="3">
        <f t="shared" ref="S6:S8" si="7">I6^2/16</f>
        <v>0.1460331632653061</v>
      </c>
      <c r="T6" s="10">
        <f>M6/8</f>
        <v>0.15831774497921819</v>
      </c>
      <c r="U6" s="10">
        <f>SQRT(O6^2+P6^2+Q6^2+R6^2+S6^2+T6^2)</f>
        <v>0.6920341521836425</v>
      </c>
      <c r="V6" s="42">
        <f>U6*N6</f>
        <v>6.49566023299601</v>
      </c>
      <c r="W6" s="3"/>
    </row>
    <row r="7" spans="1:26" x14ac:dyDescent="0.3">
      <c r="A7" s="13"/>
      <c r="B7" s="17"/>
      <c r="C7" s="13" t="s">
        <v>4</v>
      </c>
      <c r="D7" s="13">
        <v>3674</v>
      </c>
      <c r="E7" s="13">
        <f>$B$6-D7</f>
        <v>1641</v>
      </c>
      <c r="F7" s="10" cm="1">
        <f t="array" ref="F7">als(E7/1000)</f>
        <v>0.31533788997511591</v>
      </c>
      <c r="G7" s="10">
        <v>0.33333333333333331</v>
      </c>
      <c r="H7" s="10">
        <v>0.50835561685439501</v>
      </c>
      <c r="I7" s="37">
        <f>E7/1470</f>
        <v>1.116326530612245</v>
      </c>
      <c r="J7" s="11">
        <f t="shared" si="1"/>
        <v>0.48163227291754174</v>
      </c>
      <c r="K7" s="10">
        <f t="shared" si="2"/>
        <v>0.29349925223494322</v>
      </c>
      <c r="L7" s="10">
        <v>3.83841691381935</v>
      </c>
      <c r="M7" s="10" cm="1">
        <f t="array" ref="M7">(E7+2*D7-3712-VgC(L7)*1000)/1470</f>
        <v>1.3811334289335768</v>
      </c>
      <c r="N7" s="12">
        <f t="shared" si="3"/>
        <v>26.674935925124878</v>
      </c>
      <c r="O7" s="10">
        <f t="shared" si="4"/>
        <v>0.28439395221396796</v>
      </c>
      <c r="P7" s="10" cm="1">
        <f t="array" ref="P7">das(E7/1000)/(F7)</f>
        <v>0.34860725796687775</v>
      </c>
      <c r="Q7" s="3">
        <f t="shared" si="5"/>
        <v>5.7992411578929367E-3</v>
      </c>
      <c r="R7" s="31">
        <f t="shared" si="6"/>
        <v>1.4575130465651924</v>
      </c>
      <c r="S7" s="3">
        <f t="shared" si="7"/>
        <v>7.7886557684298224E-2</v>
      </c>
      <c r="T7" s="10">
        <f t="shared" ref="T7:T8" si="8">M7/8</f>
        <v>0.1726416786166971</v>
      </c>
      <c r="U7" s="31">
        <f>SQRT(O7^2+P7^2+Q7^2+R7^2+S7^2+T7^2)</f>
        <v>1.5370934641498946</v>
      </c>
      <c r="V7" s="36">
        <f>U7*N7</f>
        <v>41.00186966712667</v>
      </c>
      <c r="W7" s="3"/>
    </row>
    <row r="8" spans="1:26" x14ac:dyDescent="0.3">
      <c r="A8" s="13"/>
      <c r="B8" s="13"/>
      <c r="C8" s="13" t="s">
        <v>8</v>
      </c>
      <c r="D8" s="13">
        <v>3762</v>
      </c>
      <c r="E8" s="13">
        <f>$B$6-D8</f>
        <v>1553</v>
      </c>
      <c r="F8" s="10" cm="1">
        <f t="array" ref="F8">als(E8/1000)</f>
        <v>0.32324674747318383</v>
      </c>
      <c r="G8" s="10">
        <f>2/3</f>
        <v>0.66666666666666663</v>
      </c>
      <c r="H8" s="10">
        <v>-0.164480547866003</v>
      </c>
      <c r="I8" s="37">
        <f t="shared" ref="I8" si="9">E8/1470</f>
        <v>1.0564625850340137</v>
      </c>
      <c r="J8" s="11">
        <f t="shared" si="1"/>
        <v>0.20856449110553663</v>
      </c>
      <c r="K8" s="10">
        <f t="shared" si="2"/>
        <v>0.13429780496171062</v>
      </c>
      <c r="L8" s="10">
        <v>4.04512267054809</v>
      </c>
      <c r="M8" s="10" cm="1">
        <f t="array" ref="M8">(E8+2*D8-3712-VgC(L8)*1000)/1470</f>
        <v>1.4085913849062632</v>
      </c>
      <c r="N8" s="12">
        <f t="shared" si="3"/>
        <v>4.852592759112202</v>
      </c>
      <c r="O8" s="10">
        <f t="shared" si="4"/>
        <v>0.30050899908765066</v>
      </c>
      <c r="P8" s="10" cm="1">
        <f t="array" ref="P8">das(E8/1000)/(F8)</f>
        <v>0.36218036515289737</v>
      </c>
      <c r="Q8" s="3">
        <f t="shared" si="5"/>
        <v>5.4373933687639311E-4</v>
      </c>
      <c r="R8" s="31">
        <f t="shared" si="6"/>
        <v>1.625952429171615</v>
      </c>
      <c r="S8" s="3">
        <f t="shared" si="7"/>
        <v>6.9757074598546909E-2</v>
      </c>
      <c r="T8" s="10">
        <f t="shared" si="8"/>
        <v>0.1760739231132829</v>
      </c>
      <c r="U8" s="31">
        <f>SQRT(O8^2+P8^2+Q8^2+R8^2+S8^2+T8^2)</f>
        <v>1.7032527554281365</v>
      </c>
      <c r="V8" s="36">
        <f>U8*N8</f>
        <v>8.2651919879284819</v>
      </c>
      <c r="W8" s="3"/>
    </row>
    <row r="9" spans="1:26" x14ac:dyDescent="0.3">
      <c r="A9" s="1" t="s">
        <v>0</v>
      </c>
      <c r="B9" s="1"/>
      <c r="C9" s="1" t="s">
        <v>15</v>
      </c>
      <c r="D9" s="1"/>
      <c r="E9" s="1" t="s">
        <v>1</v>
      </c>
      <c r="F9" s="1"/>
      <c r="G9" s="1"/>
      <c r="H9" s="1"/>
      <c r="I9" s="1"/>
      <c r="J9" s="1"/>
      <c r="K9" s="1"/>
      <c r="L9" s="1"/>
      <c r="M9" s="1"/>
      <c r="N9" s="1"/>
      <c r="Q9" s="3"/>
      <c r="R9" s="10"/>
      <c r="S9" s="3"/>
      <c r="W9" s="3"/>
    </row>
    <row r="10" spans="1:26" x14ac:dyDescent="0.3">
      <c r="A10" s="13" t="s">
        <v>13</v>
      </c>
      <c r="B10" s="13">
        <v>11261</v>
      </c>
      <c r="C10" s="13" t="s">
        <v>3</v>
      </c>
      <c r="D10" s="13">
        <v>9551</v>
      </c>
      <c r="E10" s="13">
        <f>$B$10-D10</f>
        <v>1710</v>
      </c>
      <c r="F10" s="10" cm="1">
        <f t="array" ref="F10">als(E10/1000)</f>
        <v>0.30969518719271066</v>
      </c>
      <c r="G10" s="10">
        <v>0.33333333333333331</v>
      </c>
      <c r="H10" s="10">
        <v>0.46679707027973399</v>
      </c>
      <c r="I10" s="10">
        <f t="shared" ref="I10:I13" si="10">E10/4880</f>
        <v>0.35040983606557374</v>
      </c>
      <c r="J10" s="41">
        <f t="shared" ref="J10:J13" si="11">SQRT(G10)*ABS(H10/1000)*E10</f>
        <v>0.46085425825281556</v>
      </c>
      <c r="K10" s="10">
        <f t="shared" ref="K10:K13" si="12">SQRT(G10)*ABS(H10)</f>
        <v>0.26950541418293306</v>
      </c>
      <c r="L10" s="10">
        <v>1.20873770697426</v>
      </c>
      <c r="M10" s="10" cm="1">
        <f t="array" ref="M10">(E10+2*D10-10537-VgB(L10)*1000)/4880</f>
        <v>0.18538435157268759</v>
      </c>
      <c r="N10" s="42">
        <f t="shared" ref="N10:N13" si="13">(4/3)*F10*(1/3)*(1/2)*E10^3*G10*(H10/1000)^2</f>
        <v>24.994546553121289</v>
      </c>
      <c r="O10" s="10">
        <f t="shared" ref="O10:O13" si="14">3*SQRT(2)*33/E10</f>
        <v>8.1875522032126571E-2</v>
      </c>
      <c r="P10" s="37" cm="1">
        <f t="array" ref="P10">das(E10/1000)/F10</f>
        <v>0.33924097237271456</v>
      </c>
      <c r="Q10" s="3">
        <f t="shared" si="5"/>
        <v>5.3096661837438199E-3</v>
      </c>
      <c r="R10" s="10">
        <f t="shared" si="6"/>
        <v>0.40680457368327355</v>
      </c>
      <c r="S10" s="3">
        <f t="shared" ref="S10:S13" si="15">I10^2/16</f>
        <v>7.6741908257188917E-3</v>
      </c>
      <c r="T10" s="10">
        <f t="shared" ref="T10:T13" si="16">M10/8</f>
        <v>2.3173043946585949E-2</v>
      </c>
      <c r="U10" s="10">
        <f>SQRT(O10^2+P10^2+Q10^2+R10^2+S10^2+T10^2)</f>
        <v>0.53656507092766559</v>
      </c>
      <c r="V10" s="42">
        <f>U10*N10</f>
        <v>13.411200644080363</v>
      </c>
      <c r="W10" s="3"/>
    </row>
    <row r="11" spans="1:26" x14ac:dyDescent="0.3">
      <c r="A11" s="13" t="s">
        <v>14</v>
      </c>
      <c r="B11" s="13">
        <v>11525</v>
      </c>
      <c r="C11" s="13" t="s">
        <v>3</v>
      </c>
      <c r="D11" s="13">
        <v>9551</v>
      </c>
      <c r="E11" s="13">
        <f>$B$11-D11</f>
        <v>1974</v>
      </c>
      <c r="F11" s="10" cm="1">
        <f t="array" ref="F11">als(E11/1000)</f>
        <v>0.29161667747283365</v>
      </c>
      <c r="G11" s="10">
        <v>0.33333333333333331</v>
      </c>
      <c r="H11" s="10">
        <v>0.25410220262238098</v>
      </c>
      <c r="I11" s="10">
        <f t="shared" si="10"/>
        <v>0.4045081967213115</v>
      </c>
      <c r="J11" s="41">
        <f t="shared" si="11"/>
        <v>0.28959759481918851</v>
      </c>
      <c r="K11" s="10">
        <f t="shared" si="12"/>
        <v>0.14670597508570848</v>
      </c>
      <c r="L11" s="10">
        <v>1.20873770697426</v>
      </c>
      <c r="M11" s="10" cm="1">
        <f t="array" ref="M11">(E11+2*D11-10537-VgB(L11)*1000)/4880</f>
        <v>0.23948271222842532</v>
      </c>
      <c r="N11" s="42">
        <f t="shared" si="13"/>
        <v>10.728447821377886</v>
      </c>
      <c r="O11" s="10">
        <f t="shared" si="14"/>
        <v>7.092560419196374E-2</v>
      </c>
      <c r="P11" s="37" cm="1">
        <f t="array" ref="P11">das(E11/1000)/F11</f>
        <v>0.31084969641425503</v>
      </c>
      <c r="Q11" s="3">
        <f t="shared" si="5"/>
        <v>2.096669173126473E-3</v>
      </c>
      <c r="R11" s="10">
        <f t="shared" si="6"/>
        <v>0.35239909878338282</v>
      </c>
      <c r="S11" s="3">
        <f t="shared" si="15"/>
        <v>1.0226680075920452E-2</v>
      </c>
      <c r="T11" s="10">
        <f t="shared" si="16"/>
        <v>2.9935339028553165E-2</v>
      </c>
      <c r="U11" s="10">
        <f>SQRT(O11^2+P11^2+Q11^2+R11^2+S11^2+T11^2)</f>
        <v>0.47628584426153292</v>
      </c>
      <c r="V11" s="42">
        <f>U11*N11</f>
        <v>5.1098078282207702</v>
      </c>
      <c r="W11" s="3"/>
    </row>
    <row r="12" spans="1:26" x14ac:dyDescent="0.3">
      <c r="A12" s="13"/>
      <c r="B12" s="17"/>
      <c r="C12" s="13" t="s">
        <v>4</v>
      </c>
      <c r="D12" s="13">
        <v>10017</v>
      </c>
      <c r="E12" s="13">
        <f>$B$11-D12</f>
        <v>1508</v>
      </c>
      <c r="F12" s="10" cm="1">
        <f t="array" ref="F12">als(E12/1000)</f>
        <v>0.3276446635332862</v>
      </c>
      <c r="G12" s="10">
        <v>0.33333333333333331</v>
      </c>
      <c r="H12" s="10">
        <v>0.61246754346576204</v>
      </c>
      <c r="I12" s="10">
        <f t="shared" si="10"/>
        <v>0.30901639344262294</v>
      </c>
      <c r="J12" s="11">
        <f t="shared" si="11"/>
        <v>0.53324131804351871</v>
      </c>
      <c r="K12" s="10">
        <f t="shared" si="12"/>
        <v>0.35360830108986652</v>
      </c>
      <c r="L12" s="10">
        <v>2.4490469895425302</v>
      </c>
      <c r="M12" s="10" cm="1">
        <f t="array" ref="M12">(E12+2*D12-10537-VgB(L12)*1000)/4880</f>
        <v>0.25972381153505175</v>
      </c>
      <c r="N12" s="12">
        <f t="shared" si="13"/>
        <v>31.22047548512128</v>
      </c>
      <c r="O12" s="10">
        <f t="shared" si="14"/>
        <v>9.284293280831328E-2</v>
      </c>
      <c r="P12" s="37" cm="1">
        <f t="array" ref="P12">das(E12/1000)/F12</f>
        <v>0.36996724220779309</v>
      </c>
      <c r="Q12" s="3">
        <f t="shared" si="5"/>
        <v>7.1086575817197279E-3</v>
      </c>
      <c r="R12" s="31">
        <f t="shared" si="6"/>
        <v>0.99180060229106881</v>
      </c>
      <c r="S12" s="3">
        <f t="shared" si="15"/>
        <v>5.9681957135178714E-3</v>
      </c>
      <c r="T12" s="10">
        <f t="shared" si="16"/>
        <v>3.2465476441881469E-2</v>
      </c>
      <c r="U12" s="31">
        <f>SQRT(O12^2+P12^2+Q12^2+R12^2+S12^2+T12^2)</f>
        <v>1.0631576386959287</v>
      </c>
      <c r="V12" s="36">
        <f>U12*N12</f>
        <v>33.192286995725674</v>
      </c>
      <c r="W12" s="3"/>
    </row>
    <row r="13" spans="1:26" x14ac:dyDescent="0.3">
      <c r="A13" s="13"/>
      <c r="B13" s="13"/>
      <c r="C13" s="13" t="s">
        <v>8</v>
      </c>
      <c r="D13" s="13">
        <v>10106</v>
      </c>
      <c r="E13" s="13">
        <f>$B$11-D13</f>
        <v>1419</v>
      </c>
      <c r="F13" s="10" cm="1">
        <f t="array" ref="F13">als(E13/1000)</f>
        <v>0.33716919612259094</v>
      </c>
      <c r="G13" s="10">
        <f>2/3</f>
        <v>0.66666666666666663</v>
      </c>
      <c r="H13" s="10">
        <v>-0.29786690822704598</v>
      </c>
      <c r="I13" s="10">
        <f t="shared" si="10"/>
        <v>0.29077868852459016</v>
      </c>
      <c r="J13" s="11">
        <f t="shared" si="11"/>
        <v>0.34511117592509311</v>
      </c>
      <c r="K13" s="10">
        <f t="shared" si="12"/>
        <v>0.24320731213889579</v>
      </c>
      <c r="L13" s="10">
        <v>2.6197365527972898</v>
      </c>
      <c r="M13" s="10" cm="1">
        <f t="array" ref="M13">(E13+2*D13-10537-VgB(L13)*1000)/4880</f>
        <v>0.26913297262579056</v>
      </c>
      <c r="N13" s="12">
        <f t="shared" si="13"/>
        <v>12.662977033532567</v>
      </c>
      <c r="O13" s="10">
        <f t="shared" si="14"/>
        <v>9.8666062491146178E-2</v>
      </c>
      <c r="P13" s="37" cm="1">
        <f t="array" ref="P13">das(E13/1000)/F13</f>
        <v>0.38746545366953949</v>
      </c>
      <c r="Q13" s="3">
        <f t="shared" si="5"/>
        <v>1.4887715468550075E-3</v>
      </c>
      <c r="R13" s="31">
        <f t="shared" si="6"/>
        <v>1.131592724844434</v>
      </c>
      <c r="S13" s="3">
        <f t="shared" si="15"/>
        <v>5.2845153562550385E-3</v>
      </c>
      <c r="T13" s="10">
        <f t="shared" si="16"/>
        <v>3.364162157822382E-2</v>
      </c>
      <c r="U13" s="31">
        <f>SQRT(O13^2+P13^2+Q13^2+R13^2+S13^2+T13^2)</f>
        <v>1.2006366918603568</v>
      </c>
      <c r="V13" s="36">
        <f>U13*N13</f>
        <v>15.203634854644216</v>
      </c>
      <c r="W13" s="3"/>
      <c r="Z13" s="16"/>
    </row>
    <row r="14" spans="1:26" x14ac:dyDescent="0.3">
      <c r="R14" s="33"/>
      <c r="W14" s="3"/>
    </row>
    <row r="15" spans="1:26" x14ac:dyDescent="0.3">
      <c r="A15" s="1" t="s">
        <v>0</v>
      </c>
      <c r="B15" s="1"/>
      <c r="C15" s="1" t="s">
        <v>12</v>
      </c>
      <c r="D15" s="1"/>
      <c r="E15" s="1" t="s">
        <v>1</v>
      </c>
      <c r="F15" s="1"/>
      <c r="G15" s="1"/>
      <c r="H15" s="1"/>
      <c r="I15" s="1"/>
      <c r="J15" s="1" t="s">
        <v>127</v>
      </c>
      <c r="K15" s="1" t="s">
        <v>127</v>
      </c>
      <c r="L15" s="1"/>
      <c r="M15" s="1"/>
      <c r="N15" s="1"/>
      <c r="W15" s="3"/>
    </row>
    <row r="16" spans="1:26" x14ac:dyDescent="0.3">
      <c r="A16" s="1" t="s">
        <v>31</v>
      </c>
      <c r="B16" s="1" t="s">
        <v>42</v>
      </c>
      <c r="C16" s="1" t="s">
        <v>32</v>
      </c>
      <c r="D16" s="1" t="s">
        <v>33</v>
      </c>
      <c r="E16" s="1" t="s">
        <v>80</v>
      </c>
      <c r="F16" s="1" t="s">
        <v>81</v>
      </c>
      <c r="G16" s="1" t="s">
        <v>46</v>
      </c>
      <c r="H16" s="1" t="s">
        <v>123</v>
      </c>
      <c r="I16" s="1" t="s">
        <v>79</v>
      </c>
      <c r="J16" s="1" t="s">
        <v>75</v>
      </c>
      <c r="K16" s="34" t="s">
        <v>73</v>
      </c>
      <c r="L16" s="34" t="s">
        <v>74</v>
      </c>
      <c r="M16" s="34" t="s">
        <v>78</v>
      </c>
      <c r="N16" s="34" t="s">
        <v>38</v>
      </c>
      <c r="O16" s="20"/>
      <c r="P16" s="20"/>
      <c r="Q16" s="20"/>
      <c r="R16" s="20"/>
      <c r="S16" s="20"/>
      <c r="T16" s="20"/>
      <c r="U16" s="20"/>
      <c r="W16" s="3"/>
    </row>
    <row r="17" spans="1:24" x14ac:dyDescent="0.3">
      <c r="A17" s="1"/>
      <c r="B17" s="1" t="s">
        <v>34</v>
      </c>
      <c r="C17" s="1"/>
      <c r="D17" s="1" t="s">
        <v>34</v>
      </c>
      <c r="E17" s="1" t="s">
        <v>34</v>
      </c>
      <c r="F17" s="1"/>
      <c r="G17" s="1"/>
      <c r="H17" s="1" t="s">
        <v>37</v>
      </c>
      <c r="I17" s="1"/>
      <c r="J17" s="1"/>
      <c r="K17" s="34" t="s">
        <v>70</v>
      </c>
      <c r="L17" s="34" t="s">
        <v>70</v>
      </c>
      <c r="M17" s="34"/>
      <c r="N17" s="34" t="s">
        <v>34</v>
      </c>
      <c r="O17" s="34" t="s">
        <v>133</v>
      </c>
      <c r="P17" s="34" t="s">
        <v>56</v>
      </c>
      <c r="Q17" s="34" t="s">
        <v>57</v>
      </c>
      <c r="R17" s="34" t="s">
        <v>55</v>
      </c>
      <c r="S17" s="34" t="s">
        <v>68</v>
      </c>
      <c r="T17" s="34" t="s">
        <v>69</v>
      </c>
      <c r="U17" s="34" t="s">
        <v>58</v>
      </c>
      <c r="V17" s="1" t="s">
        <v>54</v>
      </c>
      <c r="W17" s="3"/>
    </row>
    <row r="18" spans="1:24" x14ac:dyDescent="0.3">
      <c r="A18" s="13" t="s">
        <v>17</v>
      </c>
      <c r="B18" s="13">
        <v>4556</v>
      </c>
      <c r="C18" s="13" t="s">
        <v>3</v>
      </c>
      <c r="D18" s="13">
        <v>3068</v>
      </c>
      <c r="E18" s="13">
        <f>$B$18-D18</f>
        <v>1488</v>
      </c>
      <c r="F18" s="3" cm="1">
        <f t="array" ref="F18">als(E18/1000)</f>
        <v>0.32968476646844586</v>
      </c>
      <c r="G18" s="3">
        <v>0.33333333333333331</v>
      </c>
      <c r="H18" s="3">
        <v>0.81627742907018397</v>
      </c>
      <c r="I18" s="24">
        <f t="shared" ref="I18:I21" si="17">E18/1470</f>
        <v>1.0122448979591836</v>
      </c>
      <c r="J18" s="45">
        <f t="shared" ref="J18:J21" si="18">SQRT(G18)*ABS(H18/1000)*E18</f>
        <v>0.7012616541897444</v>
      </c>
      <c r="K18" s="3">
        <f t="shared" ref="K18:K21" si="19">SQRT(G18)*ABS(H18/1000)*1000</f>
        <v>0.47127799340708626</v>
      </c>
      <c r="L18" s="10">
        <v>2.0555394826094102</v>
      </c>
      <c r="M18" s="3" cm="1">
        <f t="array" ref="M18">(E18+2*D18-3712-VgC(L18)*1000)/1470</f>
        <v>0.75021542922150064</v>
      </c>
      <c r="N18" s="42">
        <f t="shared" ref="N18:N21" si="20">(4/3)*F18*(1/3)*(1/2)*E18^3*G18*(H18/1000)^2</f>
        <v>53.61045356122402</v>
      </c>
      <c r="O18" s="10">
        <f t="shared" ref="O18:O21" si="21">3*SQRT(2)*110/(E18)</f>
        <v>0.31363607230048485</v>
      </c>
      <c r="P18" s="10" cm="1">
        <f t="array" ref="P18">das(E18/1000)/(F18)</f>
        <v>0.37364050840425955</v>
      </c>
      <c r="Q18" s="3">
        <f>(ABS(H18)*(E18/1000))^2/120</f>
        <v>1.2294197690923419E-2</v>
      </c>
      <c r="R18" s="10">
        <f>3*(0.215*L18-0.028)/(E18/1000)</f>
        <v>0.83455844508270804</v>
      </c>
      <c r="S18" s="3">
        <f t="shared" ref="S18:S21" si="22">I18^2/16</f>
        <v>6.4039983340274872E-2</v>
      </c>
      <c r="T18" s="10">
        <f t="shared" ref="T18:T21" si="23">M18/8</f>
        <v>9.377692865268758E-2</v>
      </c>
      <c r="U18" s="10">
        <f>SQRT(O18^2+P18^2+Q18^2+R18^2+S18^2+T18^2)</f>
        <v>0.97340073594494136</v>
      </c>
      <c r="V18" s="42">
        <f>U18*N18</f>
        <v>52.184454950837562</v>
      </c>
      <c r="W18" s="3"/>
    </row>
    <row r="19" spans="1:24" x14ac:dyDescent="0.3">
      <c r="A19" s="13" t="s">
        <v>18</v>
      </c>
      <c r="B19" s="13">
        <v>4912</v>
      </c>
      <c r="C19" s="13" t="s">
        <v>3</v>
      </c>
      <c r="D19" s="13">
        <v>3068</v>
      </c>
      <c r="E19" s="13">
        <f>$B$19-D19</f>
        <v>1844</v>
      </c>
      <c r="F19" s="3" cm="1">
        <f t="array" ref="F19">als(E19/1000)</f>
        <v>0.29990398934882972</v>
      </c>
      <c r="G19" s="3">
        <v>0.33333333333333331</v>
      </c>
      <c r="H19" s="3">
        <v>0.39617955246169501</v>
      </c>
      <c r="I19" s="24">
        <f t="shared" si="17"/>
        <v>1.254421768707483</v>
      </c>
      <c r="J19" s="45">
        <f t="shared" si="18"/>
        <v>0.42178618060562528</v>
      </c>
      <c r="K19" s="3">
        <f t="shared" si="19"/>
        <v>0.22873437126118507</v>
      </c>
      <c r="L19" s="10">
        <v>2.0555394826094102</v>
      </c>
      <c r="M19" s="3" cm="1">
        <f t="array" ref="M19">(E19+2*D19-3712-VgC(L19)*1000)/1470</f>
        <v>0.99239229996979994</v>
      </c>
      <c r="N19" s="42">
        <f t="shared" si="20"/>
        <v>21.863281099428118</v>
      </c>
      <c r="O19" s="10">
        <f t="shared" si="21"/>
        <v>0.2530859412055973</v>
      </c>
      <c r="P19" s="10" cm="1">
        <f t="array" ref="P19">das(E19/1000)/(F19)</f>
        <v>0.3235713552843803</v>
      </c>
      <c r="Q19" s="3">
        <f t="shared" ref="Q19:Q30" si="24">(ABS(H19)*(E19/1000))^2/120</f>
        <v>4.4475895537470301E-3</v>
      </c>
      <c r="R19" s="10">
        <f t="shared" ref="R19:R30" si="25">3*(0.215*L19-0.028)/(E19/1000)</f>
        <v>0.67343978648756475</v>
      </c>
      <c r="S19" s="3">
        <f t="shared" si="22"/>
        <v>9.8348373362950631E-2</v>
      </c>
      <c r="T19" s="10">
        <f t="shared" si="23"/>
        <v>0.12404903749622499</v>
      </c>
      <c r="U19" s="10">
        <f>SQRT(O19^2+P19^2+Q19^2+R19^2+S19^2+T19^2)</f>
        <v>0.80458213311049065</v>
      </c>
      <c r="V19" s="42">
        <f>U19*N19</f>
        <v>17.59080534377215</v>
      </c>
      <c r="W19" s="3"/>
    </row>
    <row r="20" spans="1:24" x14ac:dyDescent="0.3">
      <c r="A20" s="13"/>
      <c r="B20" s="17"/>
      <c r="C20" s="13" t="s">
        <v>4</v>
      </c>
      <c r="D20" s="13">
        <v>3674</v>
      </c>
      <c r="E20" s="13">
        <f>$B$19-D20</f>
        <v>1238</v>
      </c>
      <c r="F20" s="3" cm="1">
        <f t="array" ref="F20">als(E20/1000)</f>
        <v>0.36090720637054535</v>
      </c>
      <c r="G20" s="3">
        <v>0.33333333333333331</v>
      </c>
      <c r="H20" s="3">
        <v>0.98849767100366803</v>
      </c>
      <c r="I20" s="3">
        <f t="shared" si="17"/>
        <v>0.84217687074829928</v>
      </c>
      <c r="J20" s="15">
        <f t="shared" si="18"/>
        <v>0.70653823280173988</v>
      </c>
      <c r="K20" s="3">
        <f t="shared" si="19"/>
        <v>0.57070939644728591</v>
      </c>
      <c r="L20" s="10">
        <v>3.83841691381935</v>
      </c>
      <c r="M20" s="3" cm="1">
        <f t="array" ref="M20">(E20+2*D20-3712-VgC(L20)*1000)/1470</f>
        <v>1.1069837690696311</v>
      </c>
      <c r="N20" s="12">
        <f t="shared" si="20"/>
        <v>49.564989698046084</v>
      </c>
      <c r="O20" s="10">
        <f t="shared" si="21"/>
        <v>0.37697130499444381</v>
      </c>
      <c r="P20" s="10" cm="1">
        <f t="array" ref="P20">das(E20/1000)/(F20)</f>
        <v>0.43542633524198326</v>
      </c>
      <c r="Q20" s="3">
        <f t="shared" si="24"/>
        <v>1.2479906860265139E-2</v>
      </c>
      <c r="R20" s="31">
        <f t="shared" si="25"/>
        <v>1.9319700399139588</v>
      </c>
      <c r="S20" s="3">
        <f t="shared" si="22"/>
        <v>4.4328867601462346E-2</v>
      </c>
      <c r="T20" s="10">
        <f t="shared" si="23"/>
        <v>0.13837297113370389</v>
      </c>
      <c r="U20" s="31">
        <f>SQRT(O20^2+P20^2+Q20^2+R20^2+S20^2+T20^2)</f>
        <v>2.0212569280165891</v>
      </c>
      <c r="V20" s="36">
        <f>U20*N20</f>
        <v>100.18357881424652</v>
      </c>
      <c r="W20" s="3"/>
    </row>
    <row r="21" spans="1:24" x14ac:dyDescent="0.3">
      <c r="A21" s="13"/>
      <c r="B21" s="13"/>
      <c r="C21" s="13" t="s">
        <v>8</v>
      </c>
      <c r="D21" s="13">
        <v>3762</v>
      </c>
      <c r="E21" s="13">
        <f>$B$19-D21</f>
        <v>1150</v>
      </c>
      <c r="F21" s="3" cm="1">
        <f t="array" ref="F21">als(E21/1000)</f>
        <v>0.37533431221179742</v>
      </c>
      <c r="G21" s="3">
        <f>2/3</f>
        <v>0.66666666666666663</v>
      </c>
      <c r="H21" s="3">
        <v>-0.46226652913532301</v>
      </c>
      <c r="I21" s="3">
        <f t="shared" si="17"/>
        <v>0.78231292517006801</v>
      </c>
      <c r="J21" s="15">
        <f t="shared" si="18"/>
        <v>0.43405489659376606</v>
      </c>
      <c r="K21" s="3">
        <f t="shared" si="19"/>
        <v>0.37743904051631832</v>
      </c>
      <c r="L21" s="10">
        <v>4.04512267054809</v>
      </c>
      <c r="M21" s="3" cm="1">
        <f t="array" ref="M21">(E21+2*D21-3712-VgC(L21)*1000)/1470</f>
        <v>1.1344417250423178</v>
      </c>
      <c r="N21" s="12">
        <f t="shared" si="20"/>
        <v>18.071446434539492</v>
      </c>
      <c r="O21" s="10">
        <f t="shared" si="21"/>
        <v>0.40581780485488822</v>
      </c>
      <c r="P21" s="10" cm="1">
        <f t="array" ref="P21">das(E21/1000)/(F21)</f>
        <v>0.46817673929000203</v>
      </c>
      <c r="Q21" s="3">
        <f t="shared" si="24"/>
        <v>2.3550456657128109E-3</v>
      </c>
      <c r="R21" s="31">
        <f t="shared" si="25"/>
        <v>2.1957427152204505</v>
      </c>
      <c r="S21" s="3">
        <f t="shared" si="22"/>
        <v>3.8250844555509277E-2</v>
      </c>
      <c r="T21" s="10">
        <f t="shared" si="23"/>
        <v>0.14180521563028972</v>
      </c>
      <c r="U21" s="31">
        <f>SQRT(O21^2+P21^2+Q21^2+R21^2+S21^2+T21^2)</f>
        <v>2.2862066866148356</v>
      </c>
      <c r="V21" s="36">
        <f>U21*N21</f>
        <v>41.315061675446017</v>
      </c>
      <c r="W21" s="3"/>
    </row>
    <row r="22" spans="1:24" x14ac:dyDescent="0.3">
      <c r="A22" s="1" t="s">
        <v>0</v>
      </c>
      <c r="B22" s="1"/>
      <c r="C22" s="1" t="s">
        <v>15</v>
      </c>
      <c r="D22" s="1"/>
      <c r="E22" s="1" t="s">
        <v>1</v>
      </c>
      <c r="F22" s="1"/>
      <c r="G22" s="1"/>
      <c r="H22" s="1"/>
      <c r="I22" s="1"/>
      <c r="J22" s="1"/>
      <c r="K22" s="1"/>
      <c r="L22" s="1"/>
      <c r="M22" s="1"/>
      <c r="N22" s="1"/>
      <c r="Q22" s="3"/>
      <c r="R22" s="10"/>
      <c r="S22" s="3"/>
      <c r="W22" s="3"/>
    </row>
    <row r="23" spans="1:24" x14ac:dyDescent="0.3">
      <c r="A23" s="13" t="s">
        <v>16</v>
      </c>
      <c r="B23" s="13">
        <v>10772</v>
      </c>
      <c r="C23" s="13" t="s">
        <v>3</v>
      </c>
      <c r="D23" s="13">
        <v>9551</v>
      </c>
      <c r="E23" s="13">
        <f>$B$23-D23</f>
        <v>1221</v>
      </c>
      <c r="F23" s="3" cm="1">
        <f t="array" ref="F23">als(E23/1000)</f>
        <v>0.3635192272901806</v>
      </c>
      <c r="G23" s="3">
        <v>0.33333333333333331</v>
      </c>
      <c r="H23" s="3">
        <v>1.0272204302791099</v>
      </c>
      <c r="I23" s="3">
        <f>E23/4880</f>
        <v>0.25020491803278688</v>
      </c>
      <c r="J23" s="45">
        <f t="shared" ref="J23:J30" si="26">SQRT(G23)*ABS(H23/1000)*E23</f>
        <v>0.7241335761571861</v>
      </c>
      <c r="K23" s="3">
        <f>SQRT(G23)*ABS(H23/1000)*1000</f>
        <v>0.59306599193872733</v>
      </c>
      <c r="L23" s="10">
        <v>1.20873770697426</v>
      </c>
      <c r="M23" s="3" cm="1">
        <f t="array" ref="M23">(E23+2*D23-10537-VgB(K23)*1000)/4880</f>
        <v>0.15454252686966163</v>
      </c>
      <c r="N23" s="42">
        <f t="shared" ref="N23:N30" si="27">(4/3)*F23*(1/3)*(1/2)*E23^3*G23*(H23/1000)^2</f>
        <v>51.72111833235703</v>
      </c>
      <c r="O23" s="10">
        <f>3*SQRT(2)*33/(E23)</f>
        <v>0.11466596451673745</v>
      </c>
      <c r="P23" s="10" cm="1">
        <f t="array" ref="P23">das(E23/1000)/(F23)</f>
        <v>0.44113531744352807</v>
      </c>
      <c r="Q23" s="3">
        <f t="shared" si="24"/>
        <v>1.3109235902954881E-2</v>
      </c>
      <c r="R23" s="10">
        <f t="shared" si="25"/>
        <v>0.56972630712399486</v>
      </c>
      <c r="S23" s="3">
        <f>I23^2/16</f>
        <v>3.9126563129871002E-3</v>
      </c>
      <c r="T23" s="10">
        <f>M23/8</f>
        <v>1.9317815858707704E-2</v>
      </c>
      <c r="U23" s="10">
        <f t="shared" ref="U23:U30" si="28">SQRT(O23^2+P23^2+Q23^2+R23^2+S23^2+T23^2)</f>
        <v>0.72999798335244348</v>
      </c>
      <c r="V23" s="42">
        <f t="shared" ref="V23:V30" si="29">U23*N23</f>
        <v>37.756312079353727</v>
      </c>
      <c r="W23" s="3"/>
      <c r="X23" s="16"/>
    </row>
    <row r="24" spans="1:24" x14ac:dyDescent="0.3">
      <c r="A24" s="13" t="s">
        <v>17</v>
      </c>
      <c r="B24" s="13">
        <v>10995</v>
      </c>
      <c r="C24" s="13" t="s">
        <v>3</v>
      </c>
      <c r="D24" s="13">
        <v>9551</v>
      </c>
      <c r="E24" s="13">
        <f>$B$24-D24</f>
        <v>1444</v>
      </c>
      <c r="F24" s="3" cm="1">
        <f t="array" ref="F24">als(E24/1000)</f>
        <v>0.33437360902865776</v>
      </c>
      <c r="G24" s="3">
        <v>0.33333333333333331</v>
      </c>
      <c r="H24" s="3">
        <v>0.65944642755870098</v>
      </c>
      <c r="I24" s="3">
        <f t="shared" ref="I24:I30" si="30">E24/4880</f>
        <v>0.29590163934426228</v>
      </c>
      <c r="J24" s="45">
        <f t="shared" si="26"/>
        <v>0.549776390642569</v>
      </c>
      <c r="K24" s="3">
        <f t="shared" ref="K24:K30" si="31">SQRT(G24)*ABS(H24/1000)*1000</f>
        <v>0.38073157246715306</v>
      </c>
      <c r="L24" s="10">
        <v>1.20873770697426</v>
      </c>
      <c r="M24" s="3" cm="1">
        <f t="array" ref="M24">(E24+2*D24-10537-VgB(K24)*1000)/4880</f>
        <v>0.25584182084647694</v>
      </c>
      <c r="N24" s="42">
        <f t="shared" si="27"/>
        <v>32.430888247722564</v>
      </c>
      <c r="O24" s="10">
        <f t="shared" ref="O24:O30" si="32">3*SQRT(2)*33/(E24)</f>
        <v>9.6957855038044619E-2</v>
      </c>
      <c r="P24" s="10" cm="1">
        <f t="array" ref="P24">das(E24/1000)/(F24)</f>
        <v>0.38223577114665297</v>
      </c>
      <c r="Q24" s="3">
        <f t="shared" si="24"/>
        <v>7.556351992699265E-3</v>
      </c>
      <c r="R24" s="10">
        <f t="shared" si="25"/>
        <v>0.48174225830913969</v>
      </c>
      <c r="S24" s="3">
        <f t="shared" ref="S24:S30" si="33">I24^2/16</f>
        <v>5.4723612604138669E-3</v>
      </c>
      <c r="T24" s="10">
        <f t="shared" ref="T24:T30" si="34">M24/8</f>
        <v>3.1980227605809618E-2</v>
      </c>
      <c r="U24" s="10">
        <f t="shared" si="28"/>
        <v>0.62345039416890757</v>
      </c>
      <c r="V24" s="42">
        <f t="shared" si="29"/>
        <v>20.219050061290424</v>
      </c>
      <c r="W24" s="3"/>
    </row>
    <row r="25" spans="1:24" x14ac:dyDescent="0.3">
      <c r="A25" s="13"/>
      <c r="B25" s="17"/>
      <c r="C25" s="13" t="s">
        <v>4</v>
      </c>
      <c r="D25" s="13">
        <v>10017</v>
      </c>
      <c r="E25" s="13">
        <f>$B$24-D25</f>
        <v>978</v>
      </c>
      <c r="F25" s="3" cm="1">
        <f t="array" ref="F25">als(E25/1000)</f>
        <v>0.41202361843821073</v>
      </c>
      <c r="G25" s="3">
        <v>0.33333333333333331</v>
      </c>
      <c r="H25" s="3">
        <v>0.45870583022141398</v>
      </c>
      <c r="I25" s="3">
        <f t="shared" si="30"/>
        <v>0.20040983606557378</v>
      </c>
      <c r="J25" s="15">
        <f t="shared" si="26"/>
        <v>0.25900758799692603</v>
      </c>
      <c r="K25" s="3">
        <f t="shared" si="31"/>
        <v>0.26483393455718413</v>
      </c>
      <c r="L25" s="10">
        <v>2.4490469895425302</v>
      </c>
      <c r="M25" s="3" cm="1">
        <f t="array" ref="M25">(E25+2*D25-10537-VgB(K25)*1000)/4880</f>
        <v>0.41296905333945905</v>
      </c>
      <c r="N25" s="12">
        <f t="shared" si="27"/>
        <v>6.0072184879853303</v>
      </c>
      <c r="O25" s="10">
        <f t="shared" si="32"/>
        <v>0.1431565876021845</v>
      </c>
      <c r="P25" s="10" cm="1">
        <f t="array" ref="P25">das(E25/1000)/(F25)</f>
        <v>0.56700429788895601</v>
      </c>
      <c r="Q25" s="3">
        <f t="shared" si="24"/>
        <v>1.6771232659996348E-3</v>
      </c>
      <c r="R25" s="31">
        <f t="shared" si="25"/>
        <v>1.5292794562933865</v>
      </c>
      <c r="S25" s="3">
        <f t="shared" si="33"/>
        <v>2.5102563994893849E-3</v>
      </c>
      <c r="T25" s="10">
        <f t="shared" si="34"/>
        <v>5.1621131667432381E-2</v>
      </c>
      <c r="U25" s="31">
        <f t="shared" si="28"/>
        <v>1.6380955995312705</v>
      </c>
      <c r="V25" s="36">
        <f t="shared" si="29"/>
        <v>9.8403981705916621</v>
      </c>
      <c r="W25" s="3"/>
    </row>
    <row r="26" spans="1:24" x14ac:dyDescent="0.3">
      <c r="A26" s="13"/>
      <c r="B26" s="13"/>
      <c r="C26" s="13" t="s">
        <v>8</v>
      </c>
      <c r="D26" s="13">
        <v>10106</v>
      </c>
      <c r="E26" s="13">
        <f>$B$24-D26</f>
        <v>889</v>
      </c>
      <c r="F26" s="3" cm="1">
        <f t="array" ref="F26">als(E26/1000)</f>
        <v>0.43767081879334541</v>
      </c>
      <c r="G26" s="3">
        <f>2/3</f>
        <v>0.66666666666666663</v>
      </c>
      <c r="H26" s="3">
        <v>-0.17479612692226401</v>
      </c>
      <c r="I26" s="3">
        <f t="shared" si="30"/>
        <v>0.18217213114754099</v>
      </c>
      <c r="J26" s="15">
        <f t="shared" si="26"/>
        <v>0.12687847115238787</v>
      </c>
      <c r="K26" s="3">
        <f t="shared" si="31"/>
        <v>0.14272043999143744</v>
      </c>
      <c r="L26" s="10">
        <v>2.6197365527972898</v>
      </c>
      <c r="M26" s="3" cm="1">
        <f t="array" ref="M26">(E26+2*D26-10537-VgB(K26)*1000)/4880</f>
        <v>0.59547628502977967</v>
      </c>
      <c r="N26" s="14">
        <f t="shared" si="27"/>
        <v>1.3919149916894427</v>
      </c>
      <c r="O26" s="10">
        <f t="shared" si="32"/>
        <v>0.15748834946562029</v>
      </c>
      <c r="P26" s="10" cm="1">
        <f t="array" ref="P26">das(E26/1000)/(F26)</f>
        <v>0.65202356782636828</v>
      </c>
      <c r="Q26" s="3">
        <f t="shared" si="24"/>
        <v>2.0122683052459144E-4</v>
      </c>
      <c r="R26" s="31">
        <f t="shared" si="25"/>
        <v>1.8062205585537139</v>
      </c>
      <c r="S26" s="3">
        <f t="shared" si="33"/>
        <v>2.0741678354273046E-3</v>
      </c>
      <c r="T26" s="10">
        <f t="shared" si="34"/>
        <v>7.4434535628722459E-2</v>
      </c>
      <c r="U26" s="31">
        <f t="shared" si="28"/>
        <v>1.9281895296156011</v>
      </c>
      <c r="V26" s="56">
        <f t="shared" si="29"/>
        <v>2.6838759130905698</v>
      </c>
      <c r="W26" s="3"/>
    </row>
    <row r="27" spans="1:24" x14ac:dyDescent="0.3">
      <c r="A27" s="13" t="s">
        <v>18</v>
      </c>
      <c r="B27" s="13">
        <v>11209</v>
      </c>
      <c r="C27" s="13" t="s">
        <v>3</v>
      </c>
      <c r="D27" s="13">
        <v>9551</v>
      </c>
      <c r="E27" s="13">
        <f>$B$27-D27</f>
        <v>1658</v>
      </c>
      <c r="F27" s="3" cm="1">
        <f t="array" ref="F27">als(E27/1000)</f>
        <v>0.3139051852551562</v>
      </c>
      <c r="G27" s="3">
        <v>0.33333333333333331</v>
      </c>
      <c r="H27" s="3">
        <v>0.41183824871027502</v>
      </c>
      <c r="I27" s="3">
        <f t="shared" si="30"/>
        <v>0.33975409836065573</v>
      </c>
      <c r="J27" s="45">
        <f t="shared" si="26"/>
        <v>0.39423082358655487</v>
      </c>
      <c r="K27" s="3">
        <f t="shared" si="31"/>
        <v>0.2377749237554613</v>
      </c>
      <c r="L27" s="10">
        <v>1.20873770697426</v>
      </c>
      <c r="M27" s="3" cm="1">
        <f t="array" ref="M27">(E27+2*D27-10537-VgB(K27)*1000)/4880</f>
        <v>0.38365497971408258</v>
      </c>
      <c r="N27" s="42">
        <f t="shared" si="27"/>
        <v>17.975114136857002</v>
      </c>
      <c r="O27" s="10">
        <f t="shared" si="32"/>
        <v>8.4443391239406779E-2</v>
      </c>
      <c r="P27" s="10" cm="1">
        <f t="array" ref="P27">das(E27/1000)/(F27)</f>
        <v>0.34620484194386197</v>
      </c>
      <c r="Q27" s="3">
        <f t="shared" si="24"/>
        <v>3.8854485566433335E-3</v>
      </c>
      <c r="R27" s="10">
        <f t="shared" si="25"/>
        <v>0.41956322135005897</v>
      </c>
      <c r="S27" s="3">
        <f t="shared" si="33"/>
        <v>7.2145529595538833E-3</v>
      </c>
      <c r="T27" s="10">
        <f t="shared" si="34"/>
        <v>4.7956872464260322E-2</v>
      </c>
      <c r="U27" s="10">
        <f t="shared" si="28"/>
        <v>0.55261992700270079</v>
      </c>
      <c r="V27" s="42">
        <f t="shared" si="29"/>
        <v>9.9334062621751311</v>
      </c>
      <c r="W27" s="3"/>
    </row>
    <row r="28" spans="1:24" x14ac:dyDescent="0.3">
      <c r="A28" s="13"/>
      <c r="B28" s="17"/>
      <c r="C28" s="13" t="s">
        <v>4</v>
      </c>
      <c r="D28" s="13">
        <v>10017</v>
      </c>
      <c r="E28" s="13">
        <f>$B$27-D28</f>
        <v>1192</v>
      </c>
      <c r="F28" s="3" cm="1">
        <f t="array" ref="F28">als(E28/1000)</f>
        <v>0.36816042310226699</v>
      </c>
      <c r="G28" s="3">
        <v>0.33333333333333331</v>
      </c>
      <c r="H28" s="3">
        <v>0.60499941551865799</v>
      </c>
      <c r="I28" s="3">
        <f t="shared" si="30"/>
        <v>0.2442622950819672</v>
      </c>
      <c r="J28" s="15">
        <f t="shared" si="26"/>
        <v>0.41636151788784198</v>
      </c>
      <c r="K28" s="3">
        <f t="shared" si="31"/>
        <v>0.3492965754092634</v>
      </c>
      <c r="L28" s="10">
        <v>2.4490469895425302</v>
      </c>
      <c r="M28" s="3" cm="1">
        <f t="array" ref="M28">(E28+2*D28-10537-VgB(K28)*1000)/4880</f>
        <v>0.40819599084287184</v>
      </c>
      <c r="N28" s="12">
        <f t="shared" si="27"/>
        <v>16.906044520762858</v>
      </c>
      <c r="O28" s="10">
        <f t="shared" si="32"/>
        <v>0.11745565660649029</v>
      </c>
      <c r="P28" s="10" cm="1">
        <f t="array" ref="P28">das(E28/1000)/(F28)</f>
        <v>0.45151416585353171</v>
      </c>
      <c r="Q28" s="3">
        <f t="shared" si="24"/>
        <v>4.3339228394466949E-3</v>
      </c>
      <c r="R28" s="31">
        <f t="shared" si="25"/>
        <v>1.2547276075964193</v>
      </c>
      <c r="S28" s="3">
        <f t="shared" si="33"/>
        <v>3.729004299919376E-3</v>
      </c>
      <c r="T28" s="10">
        <f t="shared" si="34"/>
        <v>5.102449885535898E-2</v>
      </c>
      <c r="U28" s="31">
        <f t="shared" si="28"/>
        <v>1.3396411573042961</v>
      </c>
      <c r="V28" s="36">
        <f t="shared" si="29"/>
        <v>22.648033047232708</v>
      </c>
      <c r="W28" s="3"/>
    </row>
    <row r="29" spans="1:24" x14ac:dyDescent="0.3">
      <c r="A29" s="13"/>
      <c r="B29" s="13"/>
      <c r="C29" s="13" t="s">
        <v>5</v>
      </c>
      <c r="D29" s="13">
        <v>10355</v>
      </c>
      <c r="E29" s="13">
        <f>$B$27-D29</f>
        <v>854</v>
      </c>
      <c r="F29" s="3" cm="1">
        <f t="array" ref="F29">als(E29/1000)</f>
        <v>0.44958178887744221</v>
      </c>
      <c r="G29" s="3">
        <v>0.33333333333333331</v>
      </c>
      <c r="H29" s="3">
        <v>0.123399187814677</v>
      </c>
      <c r="I29" s="3">
        <f t="shared" si="30"/>
        <v>0.17499999999999999</v>
      </c>
      <c r="J29" s="15">
        <f t="shared" si="26"/>
        <v>6.0842849374407544E-2</v>
      </c>
      <c r="K29" s="3">
        <f t="shared" si="31"/>
        <v>7.1244554302584945E-2</v>
      </c>
      <c r="L29" s="10">
        <v>3.4295530668187899</v>
      </c>
      <c r="M29" s="3" cm="1">
        <f t="array" ref="M29">(E29+2*D29-10537-VgB(K29)*1000)/4880</f>
        <v>1.0392133082764026</v>
      </c>
      <c r="N29" s="14">
        <f t="shared" si="27"/>
        <v>0.31584438255764102</v>
      </c>
      <c r="O29" s="10">
        <f t="shared" si="32"/>
        <v>0.16394279001748996</v>
      </c>
      <c r="P29" s="10" cm="1">
        <f t="array" ref="P29">das(E29/1000)/(F29)</f>
        <v>0.69655695456564759</v>
      </c>
      <c r="Q29" s="3">
        <f t="shared" si="24"/>
        <v>9.2546307999921132E-5</v>
      </c>
      <c r="R29" s="31">
        <f t="shared" si="25"/>
        <v>2.4918755598338636</v>
      </c>
      <c r="S29" s="3">
        <f t="shared" si="33"/>
        <v>1.9140624999999997E-3</v>
      </c>
      <c r="T29" s="10">
        <f t="shared" si="34"/>
        <v>0.12990166353455032</v>
      </c>
      <c r="U29" s="31">
        <f t="shared" si="28"/>
        <v>2.5958410485696026</v>
      </c>
      <c r="V29" s="56">
        <f t="shared" si="29"/>
        <v>0.8198818132032456</v>
      </c>
      <c r="W29" s="3"/>
    </row>
    <row r="30" spans="1:24" x14ac:dyDescent="0.3">
      <c r="C30" s="13" t="s">
        <v>8</v>
      </c>
      <c r="D30" s="13">
        <v>10106</v>
      </c>
      <c r="E30" s="13">
        <f>$B$27-D30</f>
        <v>1103</v>
      </c>
      <c r="F30" s="3" cm="1">
        <f t="array" ref="F30">als(E30/1000)</f>
        <v>0.3840783215058699</v>
      </c>
      <c r="G30" s="3">
        <f>2/3</f>
        <v>0.66666666666666663</v>
      </c>
      <c r="H30" s="3">
        <v>-0.28458839890118498</v>
      </c>
      <c r="I30" s="3">
        <f t="shared" si="30"/>
        <v>0.22602459016393442</v>
      </c>
      <c r="J30" s="15">
        <f t="shared" si="26"/>
        <v>0.25629909650598826</v>
      </c>
      <c r="K30" s="3">
        <f t="shared" si="31"/>
        <v>0.23236545467451336</v>
      </c>
      <c r="L30" s="10">
        <v>2.6197365527972898</v>
      </c>
      <c r="M30" s="3" cm="1">
        <f t="array" ref="M30">(E30+2*D30-10537-VgB(K30)*1000)/4880</f>
        <v>0.50243794971783928</v>
      </c>
      <c r="N30" s="12">
        <f t="shared" si="27"/>
        <v>6.184106271305267</v>
      </c>
      <c r="O30" s="10">
        <f t="shared" si="32"/>
        <v>0.12693303959649721</v>
      </c>
      <c r="P30" s="10" cm="1">
        <f t="array" ref="P30">das(E30/1000)/(F30)</f>
        <v>0.48957236288081368</v>
      </c>
      <c r="Q30" s="3">
        <f t="shared" si="24"/>
        <v>8.2111533587232331E-4</v>
      </c>
      <c r="R30" s="31">
        <f t="shared" si="25"/>
        <v>1.4557842942468284</v>
      </c>
      <c r="S30" s="3">
        <f t="shared" si="33"/>
        <v>3.1929447099234075E-3</v>
      </c>
      <c r="T30" s="10">
        <f t="shared" si="34"/>
        <v>6.280474371472991E-2</v>
      </c>
      <c r="U30" s="31">
        <f t="shared" si="28"/>
        <v>1.5424189804890998</v>
      </c>
      <c r="V30" s="36">
        <f t="shared" si="29"/>
        <v>9.5384828902229177</v>
      </c>
      <c r="W30" s="3"/>
    </row>
    <row r="31" spans="1:24" x14ac:dyDescent="0.3">
      <c r="S31" s="16"/>
    </row>
    <row r="32" spans="1:24" x14ac:dyDescent="0.3">
      <c r="A32" s="1" t="s">
        <v>0</v>
      </c>
      <c r="B32" s="1"/>
      <c r="C32" s="1" t="s">
        <v>15</v>
      </c>
      <c r="D32" s="1"/>
      <c r="E32" s="1" t="s">
        <v>1</v>
      </c>
      <c r="F32" s="1"/>
      <c r="G32" s="1"/>
      <c r="H32" s="1"/>
      <c r="I32" s="1"/>
      <c r="J32" s="1"/>
      <c r="K32" s="1"/>
      <c r="L32" s="1" t="s">
        <v>127</v>
      </c>
      <c r="M32" s="1" t="s">
        <v>127</v>
      </c>
      <c r="N32" s="1"/>
      <c r="O32" s="1"/>
      <c r="P32" s="1"/>
    </row>
    <row r="33" spans="1:25" x14ac:dyDescent="0.3">
      <c r="A33" s="1" t="s">
        <v>31</v>
      </c>
      <c r="B33" s="1" t="s">
        <v>42</v>
      </c>
      <c r="C33" s="1" t="s">
        <v>32</v>
      </c>
      <c r="D33" s="1" t="s">
        <v>33</v>
      </c>
      <c r="E33" s="1" t="s">
        <v>35</v>
      </c>
      <c r="F33" s="1" t="s">
        <v>39</v>
      </c>
      <c r="G33" s="1" t="s">
        <v>40</v>
      </c>
      <c r="H33" s="1" t="s">
        <v>41</v>
      </c>
      <c r="I33" s="1" t="s">
        <v>124</v>
      </c>
      <c r="J33" s="1" t="s">
        <v>125</v>
      </c>
      <c r="K33" s="1" t="s">
        <v>79</v>
      </c>
      <c r="L33" s="1" t="s">
        <v>75</v>
      </c>
      <c r="M33" s="34" t="s">
        <v>73</v>
      </c>
      <c r="N33" s="34" t="s">
        <v>74</v>
      </c>
      <c r="O33" s="34" t="s">
        <v>78</v>
      </c>
      <c r="P33" s="1" t="s">
        <v>38</v>
      </c>
    </row>
    <row r="34" spans="1:25" x14ac:dyDescent="0.3">
      <c r="A34" s="1"/>
      <c r="B34" s="1" t="s">
        <v>34</v>
      </c>
      <c r="C34" s="1"/>
      <c r="D34" s="1" t="s">
        <v>34</v>
      </c>
      <c r="E34" s="1" t="s">
        <v>34</v>
      </c>
      <c r="F34" s="1"/>
      <c r="G34" s="1"/>
      <c r="H34" s="1"/>
      <c r="I34" s="1" t="s">
        <v>37</v>
      </c>
      <c r="J34" s="1" t="s">
        <v>37</v>
      </c>
      <c r="K34" s="1"/>
      <c r="L34" s="1"/>
      <c r="M34" s="34" t="s">
        <v>70</v>
      </c>
      <c r="N34" s="34" t="s">
        <v>70</v>
      </c>
      <c r="O34" s="34"/>
      <c r="P34" s="1" t="s">
        <v>34</v>
      </c>
      <c r="Q34" s="1" t="s">
        <v>133</v>
      </c>
      <c r="R34" s="1" t="s">
        <v>56</v>
      </c>
      <c r="S34" s="1" t="s">
        <v>57</v>
      </c>
      <c r="T34" s="34" t="s">
        <v>55</v>
      </c>
      <c r="U34" s="34" t="s">
        <v>68</v>
      </c>
      <c r="V34" s="34" t="s">
        <v>69</v>
      </c>
      <c r="W34" s="34" t="s">
        <v>58</v>
      </c>
      <c r="X34" s="1" t="s">
        <v>54</v>
      </c>
    </row>
    <row r="35" spans="1:25" x14ac:dyDescent="0.3">
      <c r="A35" s="13" t="s">
        <v>30</v>
      </c>
      <c r="B35" s="13">
        <v>10905</v>
      </c>
      <c r="C35" s="13" t="s">
        <v>20</v>
      </c>
      <c r="D35" s="13">
        <v>9879</v>
      </c>
      <c r="E35" s="13">
        <f>$B$35-D35</f>
        <v>1026</v>
      </c>
      <c r="F35" s="3" cm="1">
        <f t="array" ref="F35">als(E35/1000)</f>
        <v>0.40036485833508612</v>
      </c>
      <c r="G35" s="4">
        <f t="shared" ref="G35:G40" si="35">2/5</f>
        <v>0.4</v>
      </c>
      <c r="H35" s="4">
        <v>1</v>
      </c>
      <c r="I35" s="3">
        <v>0.67982050166739905</v>
      </c>
      <c r="J35" s="3">
        <v>2.2498917555790102E-2</v>
      </c>
      <c r="K35" s="3">
        <f t="shared" ref="K35" si="36">E35/4800</f>
        <v>0.21375</v>
      </c>
      <c r="L35" s="15">
        <f>ABS(SQRT(G35)*I35/1000+SQRT(H35)*J35/1000)*E35</f>
        <v>0.46421898864550176</v>
      </c>
      <c r="M35" s="3">
        <f t="shared" ref="M35" si="37">1000*L35/E35</f>
        <v>0.45245515462524538</v>
      </c>
      <c r="N35" s="3">
        <v>1.9846116902480599</v>
      </c>
      <c r="O35" s="3" cm="1">
        <f t="array" ref="O35">(E35+2*D35-10537-VgB(N35)*1000)/4880</f>
        <v>0.1295571607104935</v>
      </c>
      <c r="P35" s="12">
        <f t="shared" ref="P35" si="38">(4/3)*F35*(1/3)*(1/2)*E35^3*(G35*(I35/1000)^2+H35*(J35/1000)^2)</f>
        <v>17.812366074418502</v>
      </c>
      <c r="Q35" s="10">
        <f t="shared" ref="Q35:Q37" si="39">3*SQRT(2)*33/(E35)</f>
        <v>0.13645920338687761</v>
      </c>
      <c r="R35" s="10" cm="1">
        <f t="array" ref="R35">das(E35/1000)/(F35)</f>
        <v>0.53291510088574612</v>
      </c>
      <c r="S35" s="3">
        <f>(ABS(I35+J35)*(E35/1000))^2/120</f>
        <v>4.3269594901430616E-3</v>
      </c>
      <c r="T35" s="31">
        <f>3*(0.215*N35-0.028)/(E35/1000)</f>
        <v>1.1657646590740727</v>
      </c>
      <c r="U35" s="3">
        <f t="shared" ref="U35" si="40">K35^2/16</f>
        <v>2.8555664062499997E-3</v>
      </c>
      <c r="V35" s="10">
        <f>O35/8</f>
        <v>1.6194645088811688E-2</v>
      </c>
      <c r="W35" s="31">
        <f t="shared" ref="W35:W40" si="41">SQRT(Q35^2+R35^2+S35^2+T35^2+U35^2+V35^2)</f>
        <v>1.2891532114743451</v>
      </c>
      <c r="X35" s="36">
        <f t="shared" ref="X35:X40" si="42">W35*P35</f>
        <v>22.962868928793288</v>
      </c>
    </row>
    <row r="36" spans="1:25" s="5" customFormat="1" x14ac:dyDescent="0.3">
      <c r="A36" s="13" t="s">
        <v>30</v>
      </c>
      <c r="B36" s="57">
        <v>10885</v>
      </c>
      <c r="C36" s="13" t="s">
        <v>20</v>
      </c>
      <c r="D36" s="57">
        <v>9899</v>
      </c>
      <c r="E36" s="17">
        <f>B36-D36</f>
        <v>986</v>
      </c>
      <c r="F36" s="3" cm="1">
        <f t="array" ref="F36">als(E36/1000)</f>
        <v>0.40998806930185733</v>
      </c>
      <c r="G36" s="4">
        <f t="shared" si="35"/>
        <v>0.4</v>
      </c>
      <c r="H36" s="4">
        <v>1</v>
      </c>
      <c r="I36" s="3">
        <v>0.67982050166739905</v>
      </c>
      <c r="J36" s="3">
        <v>2.2498917555790102E-2</v>
      </c>
      <c r="K36" s="3">
        <f t="shared" ref="K36:K37" si="43">E36/4800</f>
        <v>0.20541666666666666</v>
      </c>
      <c r="L36" s="15">
        <f>ABS(SQRT(G36)*I36/1000+SQRT(H36)*J36/1000)*E36</f>
        <v>0.44612078246049192</v>
      </c>
      <c r="M36" s="3">
        <f t="shared" ref="M36:M37" si="44">1000*L36/E36</f>
        <v>0.45245515462524533</v>
      </c>
      <c r="N36" s="3">
        <v>1.9846116902480599</v>
      </c>
      <c r="O36" s="3" cm="1">
        <f t="array" ref="O36">(E36+2*D36-10537-VgB(N36)*1000)/4880</f>
        <v>0.1295571607104935</v>
      </c>
      <c r="P36" s="12">
        <f t="shared" ref="P36:P37" si="45">(4/3)*F36*(1/3)*(1/2)*E36^3*(G36*(I36/1000)^2+H36*(J36/1000)^2)</f>
        <v>16.1892057561409</v>
      </c>
      <c r="Q36" s="58">
        <v>0</v>
      </c>
      <c r="R36" s="10" cm="1">
        <f t="array" ref="R36">das(E36/1000)/(F36)</f>
        <v>0.56085746021552008</v>
      </c>
      <c r="S36" s="3">
        <f t="shared" ref="S36:S40" si="46">(ABS(I36+J36)*(E36/1000))^2/120</f>
        <v>3.9961514354645922E-3</v>
      </c>
      <c r="T36" s="31">
        <f>3*(0.215*N36-0.028)/(E36/1000)</f>
        <v>1.2130573430121689</v>
      </c>
      <c r="U36" s="3">
        <f t="shared" ref="U36:U37" si="47">K36^2/16</f>
        <v>2.6372504340277775E-3</v>
      </c>
      <c r="V36" s="10">
        <f>O36/8</f>
        <v>1.6194645088811688E-2</v>
      </c>
      <c r="W36" s="31">
        <f t="shared" si="41"/>
        <v>1.3365456965479505</v>
      </c>
      <c r="X36" s="36">
        <f t="shared" si="42"/>
        <v>21.63761328389943</v>
      </c>
      <c r="Y36"/>
    </row>
    <row r="37" spans="1:25" s="5" customFormat="1" x14ac:dyDescent="0.3">
      <c r="A37" s="13" t="s">
        <v>53</v>
      </c>
      <c r="B37" s="13">
        <v>11103</v>
      </c>
      <c r="C37" s="13" t="s">
        <v>20</v>
      </c>
      <c r="D37" s="13">
        <v>9879</v>
      </c>
      <c r="E37" s="63">
        <f>B37-D37</f>
        <v>1224</v>
      </c>
      <c r="F37" s="3" cm="1">
        <f t="array" ref="F37">als(E37/1000)</f>
        <v>0.36305262439684222</v>
      </c>
      <c r="G37" s="4">
        <f t="shared" si="35"/>
        <v>0.4</v>
      </c>
      <c r="H37" s="4">
        <v>1</v>
      </c>
      <c r="I37" s="3">
        <v>1.48454989641962</v>
      </c>
      <c r="J37" s="3">
        <v>-0.19440174576783101</v>
      </c>
      <c r="K37" s="3">
        <f t="shared" si="43"/>
        <v>0.255</v>
      </c>
      <c r="L37" s="15">
        <f t="shared" ref="L37" si="48">ABS(SQRT(G37)*I37/1000+SQRT(H37)*J37/1000)*E37</f>
        <v>0.91128029973460034</v>
      </c>
      <c r="M37" s="3">
        <f t="shared" si="44"/>
        <v>0.74451004880277805</v>
      </c>
      <c r="N37" s="3">
        <v>1.9846116902480599</v>
      </c>
      <c r="O37" s="3" cm="1">
        <f t="array" ref="O37">(E37+2*D37-10537-VgB(N37)*1000)/4880</f>
        <v>0.1701309312022968</v>
      </c>
      <c r="P37" s="12">
        <f t="shared" si="45"/>
        <v>136.01317254933107</v>
      </c>
      <c r="Q37" s="10">
        <f t="shared" si="39"/>
        <v>0.11438492048605918</v>
      </c>
      <c r="R37" s="10" cm="1">
        <f t="array" ref="R37">das(E37/1000)/(F37)</f>
        <v>0.44010862131862161</v>
      </c>
      <c r="S37" s="3">
        <f t="shared" si="46"/>
        <v>2.0780728002668305E-2</v>
      </c>
      <c r="T37" s="10">
        <f>3*(0.215*N37-0.028)/(E37/1000)</f>
        <v>0.97718508187091391</v>
      </c>
      <c r="U37" s="3">
        <f t="shared" si="47"/>
        <v>4.0640625E-3</v>
      </c>
      <c r="V37" s="10">
        <f>O37/8</f>
        <v>2.12663664002871E-2</v>
      </c>
      <c r="W37" s="31">
        <f t="shared" si="41"/>
        <v>1.0782257678356795</v>
      </c>
      <c r="X37" s="36">
        <f t="shared" si="42"/>
        <v>146.65290740776925</v>
      </c>
      <c r="Y37"/>
    </row>
    <row r="38" spans="1:25" s="5" customFormat="1" x14ac:dyDescent="0.3">
      <c r="A38" s="13" t="s">
        <v>53</v>
      </c>
      <c r="B38" s="17">
        <v>11100</v>
      </c>
      <c r="C38" s="13" t="s">
        <v>20</v>
      </c>
      <c r="D38" s="17">
        <v>9899</v>
      </c>
      <c r="E38" s="17">
        <f>B38-D38</f>
        <v>1201</v>
      </c>
      <c r="F38" s="3" cm="1">
        <f t="array" ref="F38">als(E38/1000)</f>
        <v>0.36669412831101961</v>
      </c>
      <c r="G38" s="4">
        <f t="shared" si="35"/>
        <v>0.4</v>
      </c>
      <c r="H38" s="4">
        <v>1</v>
      </c>
      <c r="I38" s="3">
        <v>1.48454989641962</v>
      </c>
      <c r="J38" s="3">
        <v>-0.19440174576783101</v>
      </c>
      <c r="K38" s="3">
        <f t="shared" ref="K38" si="49">E38/4800</f>
        <v>0.25020833333333331</v>
      </c>
      <c r="L38" s="15">
        <f>ABS(SQRT(G38)*I38/1000+SQRT(H38)*J38/1000)*E38</f>
        <v>0.89415656861213655</v>
      </c>
      <c r="M38" s="3">
        <f t="shared" ref="M38" si="50">1000*L38/E38</f>
        <v>0.74451004880277816</v>
      </c>
      <c r="N38" s="3">
        <v>1.9846116902480599</v>
      </c>
      <c r="O38" s="3" cm="1">
        <f t="array" ref="O38">(E38+2*D38-10537-VgB(N38)*1000)/4880</f>
        <v>0.17361453775967384</v>
      </c>
      <c r="P38" s="12">
        <f>(4/3)*F38*(1/3)*(1/2)*E38^3*(G38*(I38/1000)^2+H38*(J38/1000)^2)</f>
        <v>129.7777125199469</v>
      </c>
      <c r="Q38" s="64">
        <v>0</v>
      </c>
      <c r="R38" s="10" cm="1">
        <f t="array" ref="R38">das(E38/1000)/(F38)</f>
        <v>0.4482020714709864</v>
      </c>
      <c r="S38" s="3">
        <f t="shared" ref="S38" si="51">(ABS(I38+J38)*(E38/1000))^2/120</f>
        <v>2.0007090523260804E-2</v>
      </c>
      <c r="T38" s="31">
        <f t="shared" ref="T38" si="52">3*(0.215*N38-0.028)/(E38/1000)</f>
        <v>0.99589886778517778</v>
      </c>
      <c r="U38" s="3">
        <f t="shared" ref="U38" si="53">K38^2/16</f>
        <v>3.9127631293402769E-3</v>
      </c>
      <c r="V38" s="10">
        <f>O38/8</f>
        <v>2.170181721995923E-2</v>
      </c>
      <c r="W38" s="31">
        <f t="shared" si="41"/>
        <v>1.0925137134076821</v>
      </c>
      <c r="X38" s="36">
        <f t="shared" si="42"/>
        <v>141.78393062272184</v>
      </c>
      <c r="Y38"/>
    </row>
    <row r="39" spans="1:25" x14ac:dyDescent="0.3">
      <c r="A39" s="13" t="s">
        <v>53</v>
      </c>
      <c r="B39" s="13">
        <v>11103</v>
      </c>
      <c r="C39" s="13" t="s">
        <v>23</v>
      </c>
      <c r="D39" s="13">
        <v>10234</v>
      </c>
      <c r="E39" s="13">
        <f>$B$39-D39</f>
        <v>869</v>
      </c>
      <c r="F39" s="3" cm="1">
        <f t="array" ref="F39">als(E39/1000)</f>
        <v>0.44432949086756296</v>
      </c>
      <c r="G39" s="4">
        <f t="shared" si="35"/>
        <v>0.4</v>
      </c>
      <c r="H39" s="4">
        <v>1</v>
      </c>
      <c r="I39" s="3">
        <v>-0.92357776136122105</v>
      </c>
      <c r="J39" s="3">
        <v>0.93750755264869401</v>
      </c>
      <c r="K39" s="3">
        <f t="shared" ref="K39" si="54">E39/4800</f>
        <v>0.18104166666666666</v>
      </c>
      <c r="L39" s="15">
        <f t="shared" ref="L39" si="55">ABS(SQRT(G39)*I39/1000+SQRT(H39)*J39/1000)*E39</f>
        <v>0.30709216305667258</v>
      </c>
      <c r="M39" s="3">
        <f t="shared" ref="M39" si="56">1000*L39/E39</f>
        <v>0.3533856882125116</v>
      </c>
      <c r="N39" s="3">
        <v>3.0300779091087202</v>
      </c>
      <c r="O39" s="3" cm="1">
        <f t="array" ref="O39">(E39+2*D39-10537-VgB(N39)*1000)/4880</f>
        <v>0.18826621593161838</v>
      </c>
      <c r="P39" s="12">
        <f t="shared" ref="P39" si="57">(4/3)*F39*(1/3)*(1/2)*E39^3*(G39*(I39/1000)^2+H39*(J39/1000)^2)</f>
        <v>79.059499499670352</v>
      </c>
      <c r="Q39" s="10">
        <f t="shared" ref="Q39" si="58">3*SQRT(2)*33/(E39)</f>
        <v>0.16111293748554251</v>
      </c>
      <c r="R39" s="10" cm="1">
        <f t="array" ref="R39">das(E39/1000)/(F39)</f>
        <v>0.67650970650740849</v>
      </c>
      <c r="S39" s="3">
        <f t="shared" si="46"/>
        <v>1.2210895808643024E-6</v>
      </c>
      <c r="T39" s="31">
        <f t="shared" ref="T39:T40" si="59">3*(0.215*N39-0.028)/(E39/1000)</f>
        <v>2.15235932264111</v>
      </c>
      <c r="U39" s="3">
        <f>K39^2/16</f>
        <v>2.0485053168402775E-3</v>
      </c>
      <c r="V39" s="10">
        <f t="shared" ref="V39" si="60">O39/8</f>
        <v>2.3533276991452298E-2</v>
      </c>
      <c r="W39" s="31">
        <f t="shared" si="41"/>
        <v>2.2620414290824864</v>
      </c>
      <c r="X39" s="36">
        <f t="shared" si="42"/>
        <v>178.83586323078043</v>
      </c>
    </row>
    <row r="40" spans="1:25" s="5" customFormat="1" x14ac:dyDescent="0.3">
      <c r="A40" s="13" t="s">
        <v>53</v>
      </c>
      <c r="B40" s="57">
        <v>11000</v>
      </c>
      <c r="C40" s="13" t="s">
        <v>23</v>
      </c>
      <c r="D40" s="57">
        <v>10260</v>
      </c>
      <c r="E40" s="38">
        <f>B40-D40</f>
        <v>740</v>
      </c>
      <c r="F40" s="3" cm="1">
        <f t="array" ref="F40">als(E40/1000)</f>
        <v>0.49887787541084688</v>
      </c>
      <c r="G40" s="4">
        <f t="shared" si="35"/>
        <v>0.4</v>
      </c>
      <c r="H40" s="4">
        <v>1</v>
      </c>
      <c r="I40" s="3">
        <v>-0.92357776136122105</v>
      </c>
      <c r="J40" s="3">
        <v>0.93750755264869401</v>
      </c>
      <c r="K40" s="3">
        <f t="shared" ref="K40" si="61">E40/4800</f>
        <v>0.15416666666666667</v>
      </c>
      <c r="L40" s="15">
        <f t="shared" ref="L40" si="62">ABS(SQRT(G40)*I40/1000+SQRT(H40)*J40/1000)*E40</f>
        <v>0.26150540927725857</v>
      </c>
      <c r="M40" s="3">
        <f t="shared" ref="M40" si="63">1000*L40/E40</f>
        <v>0.3533856882125116</v>
      </c>
      <c r="N40" s="3">
        <v>3.0300779091087202</v>
      </c>
      <c r="O40" s="3" cm="1">
        <f t="array" ref="O40">(E40+2*D40-10537-VgB(N40)*1000)/4880</f>
        <v>0.17248752740702822</v>
      </c>
      <c r="P40" s="12">
        <f t="shared" ref="P40" si="64">(4/3)*F40*(1/3)*(1/2)*E40^3*(G40*(I40/1000)^2+H40*(J40/1000)^2)</f>
        <v>54.812422344700593</v>
      </c>
      <c r="Q40" s="58">
        <v>0</v>
      </c>
      <c r="R40" s="10" cm="1">
        <f t="array" ref="R40">das(E40/1000)/(F40)</f>
        <v>0.67098953130353589</v>
      </c>
      <c r="S40" s="3">
        <f t="shared" si="46"/>
        <v>8.8546502597630447E-7</v>
      </c>
      <c r="T40" s="31">
        <f t="shared" si="59"/>
        <v>2.5275679072636819</v>
      </c>
      <c r="U40" s="3">
        <f>K40^2/16</f>
        <v>1.4854600694444446E-3</v>
      </c>
      <c r="V40" s="10">
        <f t="shared" ref="V40" si="65">O40/8</f>
        <v>2.1560940925878527E-2</v>
      </c>
      <c r="W40" s="31">
        <f t="shared" si="41"/>
        <v>2.6152043051574876</v>
      </c>
      <c r="X40" s="36">
        <f t="shared" si="42"/>
        <v>143.34568289197145</v>
      </c>
      <c r="Y40"/>
    </row>
    <row r="43" spans="1:25" x14ac:dyDescent="0.3">
      <c r="A43" t="s">
        <v>139</v>
      </c>
    </row>
    <row r="44" spans="1:25" x14ac:dyDescent="0.3">
      <c r="A44" t="s">
        <v>132</v>
      </c>
    </row>
    <row r="45" spans="1:25" x14ac:dyDescent="0.3">
      <c r="A45" s="34" t="s">
        <v>80</v>
      </c>
      <c r="B45" s="52" t="s">
        <v>82</v>
      </c>
      <c r="C45" s="52"/>
      <c r="D45" s="52"/>
      <c r="E45" s="52"/>
      <c r="F45" s="52"/>
      <c r="G45" s="52"/>
      <c r="H45" s="52"/>
      <c r="I45" s="52"/>
      <c r="J45" s="52"/>
      <c r="K45" s="53" t="s">
        <v>34</v>
      </c>
      <c r="L45" s="54"/>
      <c r="M45" s="54"/>
      <c r="N45" s="54"/>
      <c r="O45" s="54"/>
      <c r="P45" s="54"/>
    </row>
    <row r="46" spans="1:25" x14ac:dyDescent="0.3">
      <c r="A46" s="34" t="s">
        <v>137</v>
      </c>
      <c r="B46" s="52" t="s">
        <v>83</v>
      </c>
      <c r="C46" s="52"/>
      <c r="D46" s="52"/>
      <c r="E46" s="52"/>
      <c r="F46" s="52"/>
      <c r="G46" s="52"/>
      <c r="H46" s="52"/>
      <c r="I46" s="52"/>
      <c r="J46" s="52"/>
      <c r="K46" s="53"/>
      <c r="L46" s="54"/>
      <c r="M46" s="54"/>
      <c r="N46" s="54"/>
      <c r="O46" s="54"/>
      <c r="P46" s="54"/>
    </row>
    <row r="47" spans="1:25" x14ac:dyDescent="0.3">
      <c r="A47" s="34" t="s">
        <v>46</v>
      </c>
      <c r="B47" s="52" t="s">
        <v>126</v>
      </c>
      <c r="C47" s="52"/>
      <c r="D47" s="52"/>
      <c r="E47" s="52"/>
      <c r="F47" s="52"/>
      <c r="G47" s="52"/>
      <c r="H47" s="52"/>
      <c r="I47" s="52"/>
      <c r="J47" s="52"/>
      <c r="K47" s="53"/>
      <c r="L47" s="54"/>
      <c r="M47" s="54"/>
      <c r="N47" s="54"/>
      <c r="O47" s="54"/>
      <c r="P47" s="54"/>
    </row>
    <row r="48" spans="1:25" x14ac:dyDescent="0.3">
      <c r="A48" s="34" t="s">
        <v>7</v>
      </c>
      <c r="B48" s="52" t="s">
        <v>128</v>
      </c>
      <c r="C48" s="52"/>
      <c r="D48" s="52"/>
      <c r="E48" s="52"/>
      <c r="F48" s="52"/>
      <c r="G48" s="52"/>
      <c r="H48" s="52"/>
      <c r="I48" s="52"/>
      <c r="J48" s="52"/>
      <c r="K48" s="53" t="s">
        <v>95</v>
      </c>
      <c r="L48" s="54"/>
      <c r="M48" s="54"/>
      <c r="N48" s="54"/>
      <c r="O48" s="54"/>
      <c r="P48" s="54"/>
    </row>
    <row r="49" spans="1:16" x14ac:dyDescent="0.3">
      <c r="A49" s="34" t="s">
        <v>38</v>
      </c>
      <c r="B49" s="52" t="s">
        <v>86</v>
      </c>
      <c r="C49" s="52"/>
      <c r="D49" s="52"/>
      <c r="E49" s="52"/>
      <c r="F49" s="52"/>
      <c r="G49" s="52"/>
      <c r="H49" s="52"/>
      <c r="I49" s="52"/>
      <c r="J49" s="52"/>
      <c r="K49" s="53" t="s">
        <v>34</v>
      </c>
      <c r="L49" s="54"/>
      <c r="M49" s="54"/>
      <c r="N49" s="54"/>
      <c r="O49" s="54"/>
      <c r="P49" s="54"/>
    </row>
    <row r="50" spans="1:16" x14ac:dyDescent="0.3">
      <c r="A50" s="34" t="s">
        <v>71</v>
      </c>
      <c r="B50" s="52" t="s">
        <v>84</v>
      </c>
      <c r="C50" s="52"/>
      <c r="D50" s="52"/>
      <c r="E50" s="52"/>
      <c r="F50" s="52"/>
      <c r="G50" s="52"/>
      <c r="H50" s="52"/>
      <c r="I50" s="52"/>
      <c r="J50" s="52"/>
      <c r="K50" s="53"/>
      <c r="L50" s="54"/>
      <c r="M50" s="54"/>
      <c r="N50" s="54"/>
      <c r="O50" s="54"/>
      <c r="P50" s="54"/>
    </row>
    <row r="51" spans="1:16" x14ac:dyDescent="0.3">
      <c r="A51" s="34" t="s">
        <v>133</v>
      </c>
      <c r="B51" s="52" t="s">
        <v>87</v>
      </c>
      <c r="C51" s="52"/>
      <c r="D51" s="52"/>
      <c r="E51" s="52"/>
      <c r="F51" s="52"/>
      <c r="G51" s="52"/>
      <c r="H51" s="52"/>
      <c r="I51" s="52"/>
      <c r="J51" s="52"/>
      <c r="K51" s="53" t="s">
        <v>138</v>
      </c>
      <c r="L51" s="53"/>
      <c r="M51" s="53"/>
      <c r="N51" s="53"/>
      <c r="O51" s="54"/>
      <c r="P51" s="54"/>
    </row>
    <row r="52" spans="1:16" x14ac:dyDescent="0.3">
      <c r="A52" s="34" t="s">
        <v>56</v>
      </c>
      <c r="B52" s="52" t="s">
        <v>135</v>
      </c>
      <c r="C52" s="52"/>
      <c r="D52" s="52"/>
      <c r="E52" s="52"/>
      <c r="F52" s="52"/>
      <c r="G52" s="52"/>
      <c r="H52" s="52"/>
      <c r="I52" s="52"/>
      <c r="J52" s="52"/>
      <c r="K52" s="53" t="s">
        <v>136</v>
      </c>
      <c r="L52" s="53"/>
      <c r="M52" s="53"/>
      <c r="N52" s="53"/>
      <c r="O52" s="54"/>
      <c r="P52" s="54"/>
    </row>
    <row r="53" spans="1:16" x14ac:dyDescent="0.3">
      <c r="A53" s="34" t="s">
        <v>57</v>
      </c>
      <c r="B53" s="52" t="s">
        <v>88</v>
      </c>
      <c r="C53" s="52"/>
      <c r="D53" s="52"/>
      <c r="E53" s="52"/>
      <c r="F53" s="52" t="s">
        <v>130</v>
      </c>
      <c r="G53" s="52"/>
      <c r="H53" s="52"/>
      <c r="I53" s="52"/>
      <c r="J53" s="52"/>
      <c r="K53" s="53" t="s">
        <v>107</v>
      </c>
      <c r="L53" s="53"/>
      <c r="M53" s="53"/>
      <c r="N53" s="53"/>
      <c r="O53" s="54"/>
      <c r="P53" s="54"/>
    </row>
    <row r="54" spans="1:16" x14ac:dyDescent="0.3">
      <c r="A54" s="34" t="s">
        <v>55</v>
      </c>
      <c r="B54" s="52" t="s">
        <v>134</v>
      </c>
      <c r="C54" s="52"/>
      <c r="D54" s="52"/>
      <c r="E54" s="52"/>
      <c r="F54" s="52"/>
      <c r="G54" s="52"/>
      <c r="H54" s="52"/>
      <c r="I54" s="52"/>
      <c r="J54" s="52"/>
      <c r="K54" s="53"/>
      <c r="L54" s="53"/>
      <c r="M54" s="53"/>
      <c r="N54" s="53"/>
      <c r="O54" s="54"/>
      <c r="P54" s="54"/>
    </row>
    <row r="55" spans="1:16" x14ac:dyDescent="0.3">
      <c r="A55" s="34" t="s">
        <v>68</v>
      </c>
      <c r="B55" s="52" t="s">
        <v>89</v>
      </c>
      <c r="C55" s="52"/>
      <c r="D55" s="52"/>
      <c r="E55" s="52"/>
      <c r="F55" s="52"/>
      <c r="G55" s="52"/>
      <c r="H55" s="52"/>
      <c r="I55" s="52"/>
      <c r="J55" s="52"/>
      <c r="K55" s="53"/>
      <c r="L55" s="53"/>
      <c r="M55" s="53"/>
      <c r="N55" s="53"/>
      <c r="O55" s="54"/>
      <c r="P55" s="54"/>
    </row>
    <row r="56" spans="1:16" x14ac:dyDescent="0.3">
      <c r="A56" s="34" t="s">
        <v>69</v>
      </c>
      <c r="B56" s="52" t="s">
        <v>90</v>
      </c>
      <c r="C56" s="52"/>
      <c r="D56" s="52"/>
      <c r="E56" s="52"/>
      <c r="F56" s="52"/>
      <c r="G56" s="52"/>
      <c r="H56" s="52"/>
      <c r="I56" s="52"/>
      <c r="J56" s="52"/>
      <c r="K56" s="53" t="s">
        <v>108</v>
      </c>
      <c r="L56" s="53"/>
      <c r="M56" s="53"/>
      <c r="N56" s="53"/>
      <c r="O56" s="54"/>
      <c r="P56" s="54"/>
    </row>
    <row r="57" spans="1:16" x14ac:dyDescent="0.3">
      <c r="A57" s="34" t="s">
        <v>58</v>
      </c>
      <c r="B57" s="52" t="s">
        <v>91</v>
      </c>
      <c r="C57" s="52"/>
      <c r="D57" s="52"/>
      <c r="E57" s="52"/>
      <c r="F57" s="52"/>
      <c r="G57" s="52"/>
      <c r="H57" s="52"/>
      <c r="I57" s="52"/>
      <c r="J57" s="52"/>
      <c r="K57" s="53"/>
      <c r="L57" s="54"/>
      <c r="M57" s="54"/>
      <c r="N57" s="54"/>
      <c r="O57" s="54"/>
      <c r="P57" s="54"/>
    </row>
    <row r="58" spans="1:16" x14ac:dyDescent="0.3">
      <c r="A58" s="34" t="s">
        <v>54</v>
      </c>
      <c r="B58" s="52" t="s">
        <v>85</v>
      </c>
      <c r="C58" s="52"/>
      <c r="D58" s="52"/>
      <c r="E58" s="52"/>
      <c r="F58" s="52"/>
      <c r="G58" s="52"/>
      <c r="H58" s="52"/>
      <c r="I58" s="52"/>
      <c r="J58" s="52"/>
      <c r="K58" s="53" t="s">
        <v>34</v>
      </c>
      <c r="L58" s="54"/>
      <c r="M58" s="54"/>
      <c r="N58" s="54"/>
      <c r="O58" s="54"/>
      <c r="P58" s="54"/>
    </row>
  </sheetData>
  <conditionalFormatting sqref="C7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12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20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25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28:C29">
    <cfRule type="iconSet" priority="17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4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83C0-8BE1-45D7-8A42-9B810B92F5BC}">
  <sheetPr codeName="Full12">
    <pageSetUpPr fitToPage="1"/>
  </sheetPr>
  <dimension ref="A1:AD48"/>
  <sheetViews>
    <sheetView topLeftCell="A19" zoomScale="60" zoomScaleNormal="60" workbookViewId="0">
      <selection activeCell="A49" sqref="A49"/>
    </sheetView>
  </sheetViews>
  <sheetFormatPr defaultRowHeight="14.4" x14ac:dyDescent="0.3"/>
  <cols>
    <col min="1" max="1" width="9.6640625" customWidth="1"/>
    <col min="2" max="2" width="7.109375" customWidth="1"/>
    <col min="3" max="3" width="7.21875" bestFit="1" customWidth="1"/>
    <col min="4" max="4" width="7.33203125" customWidth="1"/>
    <col min="5" max="5" width="7.6640625" customWidth="1"/>
    <col min="6" max="6" width="7.77734375" bestFit="1" customWidth="1"/>
    <col min="7" max="7" width="4" bestFit="1" customWidth="1"/>
    <col min="8" max="8" width="9.44140625" bestFit="1" customWidth="1"/>
    <col min="9" max="9" width="9.109375" bestFit="1" customWidth="1"/>
    <col min="10" max="10" width="10.33203125" bestFit="1" customWidth="1"/>
    <col min="11" max="11" width="9.5546875" bestFit="1" customWidth="1"/>
    <col min="12" max="12" width="10" bestFit="1" customWidth="1"/>
    <col min="13" max="13" width="9.5546875" bestFit="1" customWidth="1"/>
    <col min="14" max="14" width="8" bestFit="1" customWidth="1"/>
    <col min="15" max="15" width="8.109375" bestFit="1" customWidth="1"/>
    <col min="16" max="16" width="10.88671875" customWidth="1"/>
    <col min="17" max="17" width="8.109375" bestFit="1" customWidth="1"/>
    <col min="18" max="18" width="6.109375" bestFit="1" customWidth="1"/>
    <col min="19" max="19" width="6.5546875" bestFit="1" customWidth="1"/>
    <col min="20" max="20" width="6.109375" bestFit="1" customWidth="1"/>
    <col min="21" max="21" width="8.44140625" bestFit="1" customWidth="1"/>
    <col min="22" max="22" width="8.77734375" bestFit="1" customWidth="1"/>
    <col min="24" max="24" width="8.77734375" bestFit="1" customWidth="1"/>
  </cols>
  <sheetData>
    <row r="1" spans="1:30" x14ac:dyDescent="0.3">
      <c r="A1" t="s">
        <v>44</v>
      </c>
      <c r="E1" t="s">
        <v>45</v>
      </c>
    </row>
    <row r="2" spans="1:30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 t="s">
        <v>127</v>
      </c>
      <c r="K2" s="1" t="s">
        <v>127</v>
      </c>
      <c r="L2" s="1"/>
      <c r="M2" s="1"/>
      <c r="N2" s="1"/>
      <c r="O2" s="1"/>
    </row>
    <row r="3" spans="1:30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112</v>
      </c>
      <c r="I3" s="1" t="s">
        <v>111</v>
      </c>
      <c r="J3" s="1" t="s">
        <v>99</v>
      </c>
      <c r="K3" s="1" t="s">
        <v>76</v>
      </c>
      <c r="L3" s="34" t="s">
        <v>73</v>
      </c>
      <c r="M3" s="34" t="s">
        <v>74</v>
      </c>
      <c r="N3" s="34" t="s">
        <v>78</v>
      </c>
      <c r="O3" s="34" t="s">
        <v>38</v>
      </c>
      <c r="P3" s="20"/>
      <c r="Q3" s="20"/>
      <c r="R3" s="20"/>
      <c r="S3" s="20"/>
      <c r="T3" s="20"/>
      <c r="U3" s="20"/>
      <c r="V3" s="20"/>
    </row>
    <row r="4" spans="1:30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34" t="s">
        <v>70</v>
      </c>
      <c r="M4" s="34" t="s">
        <v>70</v>
      </c>
      <c r="N4" s="34"/>
      <c r="O4" s="34" t="s">
        <v>34</v>
      </c>
      <c r="P4" s="34" t="s">
        <v>133</v>
      </c>
      <c r="Q4" s="34" t="s">
        <v>56</v>
      </c>
      <c r="R4" s="34" t="s">
        <v>57</v>
      </c>
      <c r="S4" s="34" t="s">
        <v>55</v>
      </c>
      <c r="T4" s="34" t="s">
        <v>68</v>
      </c>
      <c r="U4" s="34" t="s">
        <v>69</v>
      </c>
      <c r="V4" s="34" t="s">
        <v>58</v>
      </c>
      <c r="W4" s="1" t="s">
        <v>54</v>
      </c>
    </row>
    <row r="5" spans="1:30" x14ac:dyDescent="0.3">
      <c r="A5" s="13" t="s">
        <v>13</v>
      </c>
      <c r="B5" s="13">
        <v>4917</v>
      </c>
      <c r="C5" s="13" t="s">
        <v>20</v>
      </c>
      <c r="D5" s="13">
        <v>3457</v>
      </c>
      <c r="E5" s="13">
        <f>$B$5-D5</f>
        <v>1460</v>
      </c>
      <c r="F5" s="3" cm="1">
        <f t="array" ref="F5">als(E5/1000)</f>
        <v>0.33263549621265776</v>
      </c>
      <c r="G5" s="7">
        <v>3</v>
      </c>
      <c r="H5" s="3">
        <v>0.13544948023711201</v>
      </c>
      <c r="I5" s="3">
        <v>-0.56151007129175301</v>
      </c>
      <c r="J5" s="15">
        <f t="shared" ref="J5:J7" si="0">SQRT(G5)*ABS(H5/1470)*E5</f>
        <v>0.23300942665240326</v>
      </c>
      <c r="K5" s="15">
        <f>ABS(I5/1000)*E5</f>
        <v>0.81980470408595929</v>
      </c>
      <c r="L5" s="3">
        <f>K5/(E5/1000)</f>
        <v>0.5615100712917529</v>
      </c>
      <c r="M5" s="3">
        <v>3.1414552694423699</v>
      </c>
      <c r="N5" s="3" cm="1">
        <f t="array" ref="N5">(E5+2*D5-3712-VgC(M5)*1000)/1470</f>
        <v>1.0741393405999762</v>
      </c>
      <c r="O5" s="12">
        <f>(4/3)*F5*(1/3)*(1/2)*E5^3*G5*(H5/1470)^2</f>
        <v>5.8594373665154214</v>
      </c>
      <c r="P5" s="10">
        <f t="shared" ref="P5:P7" si="1">3*SQRT(2)*110/(E5)</f>
        <v>0.31965101067337087</v>
      </c>
      <c r="Q5" s="10" cm="1">
        <f t="array" ref="Q5">das(E5/1000)/(F5)</f>
        <v>0.37902427472826689</v>
      </c>
      <c r="R5" s="3">
        <f>K5^2/24</f>
        <v>2.8003323035061135E-2</v>
      </c>
      <c r="S5" s="31">
        <f>3*(0.215*M5-0.028)/(E5/1000)</f>
        <v>1.3303004443769373</v>
      </c>
      <c r="T5" s="3">
        <f>(E5/1470)^2/16</f>
        <v>6.1652552177333515E-2</v>
      </c>
      <c r="U5" s="10">
        <f>5*N5/24</f>
        <v>0.22377902929166171</v>
      </c>
      <c r="V5" s="31">
        <f>SQRT(P5^2+Q5^2+R5^2+S5^2+T5^2+U5^2)</f>
        <v>1.4388181674586182</v>
      </c>
      <c r="W5" s="36">
        <f>V5*O5</f>
        <v>8.43066493402827</v>
      </c>
    </row>
    <row r="6" spans="1:30" x14ac:dyDescent="0.3">
      <c r="A6" s="13" t="s">
        <v>14</v>
      </c>
      <c r="B6" s="13">
        <v>5315</v>
      </c>
      <c r="C6" s="13" t="s">
        <v>20</v>
      </c>
      <c r="D6" s="13">
        <v>3457</v>
      </c>
      <c r="E6" s="13">
        <f>$B$6-D6</f>
        <v>1858</v>
      </c>
      <c r="F6" s="3" cm="1">
        <f t="array" ref="F6">als(E6/1000)</f>
        <v>0.29895896361204283</v>
      </c>
      <c r="G6" s="7">
        <v>3</v>
      </c>
      <c r="H6" s="3">
        <v>4.9870161481481802E-2</v>
      </c>
      <c r="I6" s="3">
        <v>-0.20175783487798499</v>
      </c>
      <c r="J6" s="15">
        <f t="shared" si="0"/>
        <v>0.10917665315835635</v>
      </c>
      <c r="K6" s="15">
        <f>ABS(I6/1000)*E6</f>
        <v>0.37486605720329613</v>
      </c>
      <c r="L6" s="3">
        <f t="shared" ref="L6:L7" si="2">K6/(E6/1000)</f>
        <v>0.20175783487798499</v>
      </c>
      <c r="M6" s="3">
        <v>3.1414552694423699</v>
      </c>
      <c r="N6" s="3" cm="1">
        <f t="array" ref="N6">(E6+2*D6-3712-VgC(M6)*1000)/1470</f>
        <v>1.3448876399197041</v>
      </c>
      <c r="O6" s="14">
        <f t="shared" ref="O6:O7" si="3">(4/3)*F6*(1/3)*(1/2)*E6^3*G6*(H6/1470)^2</f>
        <v>1.4713104808857618</v>
      </c>
      <c r="P6" s="10">
        <f t="shared" si="1"/>
        <v>0.25117894272503843</v>
      </c>
      <c r="Q6" s="10" cm="1">
        <f t="array" ref="Q6">das(E6/1000)/(F6)</f>
        <v>0.32209627036953431</v>
      </c>
      <c r="R6" s="3">
        <f>K6^2/24</f>
        <v>5.8551900351310367E-3</v>
      </c>
      <c r="S6" s="31">
        <f t="shared" ref="S6:S10" si="4">3*(0.215*M6-0.028)/(E6/1000)</f>
        <v>1.0453383470346223</v>
      </c>
      <c r="T6" s="3">
        <f t="shared" ref="T6:T7" si="5">(E6/1470)^2/16</f>
        <v>9.9847401545652276E-2</v>
      </c>
      <c r="U6" s="10">
        <f t="shared" ref="U6:U11" si="6">5*N6/24</f>
        <v>0.28018492498327169</v>
      </c>
      <c r="V6" s="31">
        <f>SQRT(P6^2+Q6^2+R6^2+S6^2+T6^2+U6^2)</f>
        <v>1.16106696941613</v>
      </c>
      <c r="W6" s="56">
        <f>V6*O6</f>
        <v>1.7082900011122202</v>
      </c>
      <c r="Z6" s="10"/>
      <c r="AA6" s="10"/>
      <c r="AB6" s="10"/>
      <c r="AC6" s="10"/>
      <c r="AD6" s="4"/>
    </row>
    <row r="7" spans="1:30" x14ac:dyDescent="0.3">
      <c r="A7" s="13"/>
      <c r="B7" s="17"/>
      <c r="C7" s="13" t="s">
        <v>23</v>
      </c>
      <c r="D7" s="13">
        <v>3958</v>
      </c>
      <c r="E7" s="13">
        <f>$B$6-D7</f>
        <v>1357</v>
      </c>
      <c r="F7" s="3" cm="1">
        <f t="array" ref="F7">als(E7/1000)</f>
        <v>0.34455798277894345</v>
      </c>
      <c r="G7" s="7">
        <v>3</v>
      </c>
      <c r="H7" s="3">
        <v>0.113452331080361</v>
      </c>
      <c r="I7" s="3">
        <v>-0.90841064122489401</v>
      </c>
      <c r="J7" s="15">
        <f t="shared" si="0"/>
        <v>0.18139969977135911</v>
      </c>
      <c r="K7" s="35">
        <f>ABS(I7/1000)*E7</f>
        <v>1.2327132401421812</v>
      </c>
      <c r="L7" s="3">
        <f t="shared" si="2"/>
        <v>0.90841064122489401</v>
      </c>
      <c r="M7" s="3">
        <v>4.6577871743427401</v>
      </c>
      <c r="N7" s="3" cm="1">
        <f t="array" ref="N7">(E7+2*D7-3712-VgC(M7)*1000)/1470</f>
        <v>1.4470084157307279</v>
      </c>
      <c r="O7" s="12">
        <f t="shared" si="3"/>
        <v>3.4190289485582115</v>
      </c>
      <c r="P7" s="10">
        <f t="shared" si="1"/>
        <v>0.34391339394482051</v>
      </c>
      <c r="Q7" s="10" cm="1">
        <f t="array" ref="Q7">das(E7/1000)/(F7)</f>
        <v>0.40168672602680805</v>
      </c>
      <c r="R7" s="3">
        <f t="shared" ref="R7" si="7">K7^2/24</f>
        <v>6.3315913850909789E-2</v>
      </c>
      <c r="S7" s="31">
        <f t="shared" si="4"/>
        <v>2.152006431430411</v>
      </c>
      <c r="T7" s="3">
        <f t="shared" si="5"/>
        <v>5.3260475959091121E-2</v>
      </c>
      <c r="U7" s="10">
        <f t="shared" si="6"/>
        <v>0.30146008661056833</v>
      </c>
      <c r="V7" s="31">
        <f>SQRT(P7^2+Q7^2+R7^2+S7^2+T7^2+U7^2)</f>
        <v>2.2379642750464201</v>
      </c>
      <c r="W7" s="36">
        <f>V7*O7</f>
        <v>7.6516646422228023</v>
      </c>
    </row>
    <row r="8" spans="1:30" x14ac:dyDescent="0.3">
      <c r="A8" s="1" t="s">
        <v>0</v>
      </c>
      <c r="B8" s="1"/>
      <c r="C8" s="1" t="s">
        <v>15</v>
      </c>
      <c r="D8" s="1"/>
      <c r="E8" s="1" t="s">
        <v>1</v>
      </c>
      <c r="F8" s="1"/>
      <c r="G8" s="1"/>
      <c r="H8" s="1"/>
      <c r="I8" s="1"/>
      <c r="J8" s="1"/>
      <c r="K8" s="1"/>
      <c r="L8" s="1"/>
      <c r="M8" s="1"/>
      <c r="N8" s="1"/>
      <c r="O8" s="22"/>
      <c r="R8" s="3"/>
      <c r="S8" s="31"/>
      <c r="T8" s="3"/>
      <c r="U8" s="10"/>
    </row>
    <row r="9" spans="1:30" x14ac:dyDescent="0.3">
      <c r="A9" s="13" t="s">
        <v>13</v>
      </c>
      <c r="B9" s="13">
        <v>11261</v>
      </c>
      <c r="C9" s="13" t="s">
        <v>20</v>
      </c>
      <c r="D9" s="13">
        <v>9879</v>
      </c>
      <c r="E9" s="13">
        <f>$B$9-D9</f>
        <v>1382</v>
      </c>
      <c r="F9" s="3" cm="1">
        <f t="array" ref="F9">als(E9/1000)</f>
        <v>0.34149653574809941</v>
      </c>
      <c r="G9" s="7">
        <v>3</v>
      </c>
      <c r="H9" s="3">
        <v>0.24196970848509899</v>
      </c>
      <c r="I9" s="3">
        <v>-5.6100471981907901E-2</v>
      </c>
      <c r="J9" s="45">
        <f t="shared" ref="J9:J11" si="8">SQRT(G9)*ABS(H9/4880)*E9</f>
        <v>0.11868883025871954</v>
      </c>
      <c r="K9" s="45">
        <f>ABS(I9/1000)*E9</f>
        <v>7.7530852278996726E-2</v>
      </c>
      <c r="L9" s="3">
        <f t="shared" ref="L9:L11" si="9">K9/(E9/1000)</f>
        <v>5.6100471981907908E-2</v>
      </c>
      <c r="M9" s="3">
        <v>1.9846116902480599</v>
      </c>
      <c r="N9" s="3" cm="1">
        <f t="array" ref="N9">(E9+2*D9-10537-VgB(M9)*1000)/4880</f>
        <v>0.20250798038262466</v>
      </c>
      <c r="O9" s="43">
        <f t="shared" ref="O9:O11" si="10">(4/3)*F9*(1/3)*(1/2)*E9^3*G9*(H9/4880)^2</f>
        <v>1.4774116898323784</v>
      </c>
      <c r="P9" s="10">
        <f t="shared" ref="P9:P11" si="11">3*SQRT(2)*33/(E9)</f>
        <v>0.10130762856362983</v>
      </c>
      <c r="Q9" s="10" cm="1">
        <f t="array" ref="Q9">das(E9/1000)/(F9)</f>
        <v>0.39572218938894865</v>
      </c>
      <c r="R9" s="3">
        <f t="shared" ref="R9:R11" si="12">K9^2/24</f>
        <v>2.5045971062948383E-4</v>
      </c>
      <c r="S9" s="37">
        <f t="shared" si="4"/>
        <v>0.86546638220694549</v>
      </c>
      <c r="T9" s="3">
        <f t="shared" ref="T9:T11" si="13">(E9/4880)^2/16</f>
        <v>5.0125239350980915E-3</v>
      </c>
      <c r="U9" s="10">
        <f t="shared" si="6"/>
        <v>4.2189162579713474E-2</v>
      </c>
      <c r="V9" s="10">
        <f>SQRT(P9^2+Q9^2+R9^2+S9^2+T9^2+U9^2)</f>
        <v>0.9579647483471363</v>
      </c>
      <c r="W9" s="43">
        <f>V9*O9</f>
        <v>1.4153083176553918</v>
      </c>
    </row>
    <row r="10" spans="1:30" x14ac:dyDescent="0.3">
      <c r="A10" s="13" t="s">
        <v>14</v>
      </c>
      <c r="B10" s="13">
        <v>11525</v>
      </c>
      <c r="C10" s="13" t="s">
        <v>20</v>
      </c>
      <c r="D10" s="13">
        <v>9879</v>
      </c>
      <c r="E10" s="13">
        <f>$B$10-D10</f>
        <v>1646</v>
      </c>
      <c r="F10" s="3" cm="1">
        <f t="array" ref="F10">als(E10/1000)</f>
        <v>0.31491350302157201</v>
      </c>
      <c r="G10" s="7">
        <v>3</v>
      </c>
      <c r="H10" s="3">
        <v>0.10991095601579499</v>
      </c>
      <c r="I10" s="3">
        <v>-0.112183617808116</v>
      </c>
      <c r="J10" s="45">
        <f t="shared" si="8"/>
        <v>6.4211323518524599E-2</v>
      </c>
      <c r="K10" s="45">
        <f>ABS(I10/1000)*E10</f>
        <v>0.18465423491215893</v>
      </c>
      <c r="L10" s="3">
        <f t="shared" si="9"/>
        <v>0.112183617808116</v>
      </c>
      <c r="M10" s="3">
        <v>1.9846116902480599</v>
      </c>
      <c r="N10" s="3" cm="1">
        <f t="array" ref="N10">(E10+2*D10-10537-VgB(M10)*1000)/4880</f>
        <v>0.25660634103836238</v>
      </c>
      <c r="O10" s="43">
        <f t="shared" si="10"/>
        <v>0.47493244929190642</v>
      </c>
      <c r="P10" s="10">
        <f t="shared" si="11"/>
        <v>8.5059017420982042E-2</v>
      </c>
      <c r="Q10" s="10" cm="1">
        <f t="array" ref="Q10">das(E10/1000)/(F10)</f>
        <v>0.34789387715056314</v>
      </c>
      <c r="R10" s="3">
        <f t="shared" si="12"/>
        <v>1.4207161029581156E-3</v>
      </c>
      <c r="S10" s="37">
        <f t="shared" si="4"/>
        <v>0.72665524921628111</v>
      </c>
      <c r="T10" s="3">
        <f t="shared" si="13"/>
        <v>7.1104982699543148E-3</v>
      </c>
      <c r="U10" s="10">
        <f t="shared" si="6"/>
        <v>5.3459654382992161E-2</v>
      </c>
      <c r="V10" s="10">
        <f>SQRT(P10^2+Q10^2+R10^2+S10^2+T10^2+U10^2)</f>
        <v>0.81191351120897781</v>
      </c>
      <c r="W10" s="43">
        <f>V10*O10</f>
        <v>0.38560407249167156</v>
      </c>
    </row>
    <row r="11" spans="1:30" x14ac:dyDescent="0.3">
      <c r="A11" s="13"/>
      <c r="B11" s="17"/>
      <c r="C11" s="13" t="s">
        <v>23</v>
      </c>
      <c r="D11" s="13">
        <v>10234</v>
      </c>
      <c r="E11" s="13">
        <f>$B$10-D11</f>
        <v>1291</v>
      </c>
      <c r="F11" s="3" cm="1">
        <f t="array" ref="F11">als(E11/1000)</f>
        <v>0.35323357837174441</v>
      </c>
      <c r="G11" s="7">
        <v>3</v>
      </c>
      <c r="H11" s="3">
        <v>0.295416670819377</v>
      </c>
      <c r="I11" s="3">
        <v>5.08308464560994E-2</v>
      </c>
      <c r="J11" s="15">
        <f t="shared" si="8"/>
        <v>0.13536364714984761</v>
      </c>
      <c r="K11" s="15">
        <f>ABS(I11/1000)*E11</f>
        <v>6.5622622774824321E-2</v>
      </c>
      <c r="L11" s="3">
        <f t="shared" si="9"/>
        <v>5.08308464560994E-2</v>
      </c>
      <c r="M11" s="3">
        <v>3.0300779091087202</v>
      </c>
      <c r="N11" s="3" cm="1">
        <f t="array" ref="N11">(E11+2*D11-10537-VgB(M11)*1000)/4880</f>
        <v>0.27474162576768396</v>
      </c>
      <c r="O11" s="12">
        <f t="shared" si="10"/>
        <v>1.856862748826027</v>
      </c>
      <c r="P11" s="10">
        <f t="shared" si="11"/>
        <v>0.10844860005804526</v>
      </c>
      <c r="Q11" s="10" cm="1">
        <f t="array" ref="Q11">das(E11/1000)/(F11)</f>
        <v>0.41917757898741642</v>
      </c>
      <c r="R11" s="3">
        <f t="shared" si="12"/>
        <v>1.7943035916028716E-4</v>
      </c>
      <c r="S11" s="31">
        <f>3*(0.215*M11-0.028)/(E11/1000)</f>
        <v>1.4487995750388263</v>
      </c>
      <c r="T11" s="3">
        <f t="shared" si="13"/>
        <v>4.3741418007592044E-3</v>
      </c>
      <c r="U11" s="10">
        <f t="shared" si="6"/>
        <v>5.7237838701600825E-2</v>
      </c>
      <c r="V11" s="31">
        <f>SQRT(P11^2+Q11^2+R11^2+S11^2+T11^2+U11^2)</f>
        <v>1.5132040462885243</v>
      </c>
      <c r="W11" s="56">
        <f>V11*O11</f>
        <v>2.809812224925976</v>
      </c>
    </row>
    <row r="13" spans="1:30" x14ac:dyDescent="0.3">
      <c r="A13" s="1" t="s">
        <v>0</v>
      </c>
      <c r="B13" s="1"/>
      <c r="C13" s="1" t="s">
        <v>12</v>
      </c>
      <c r="D13" s="1"/>
      <c r="E13" s="1" t="s">
        <v>1</v>
      </c>
      <c r="F13" s="1"/>
      <c r="G13" s="1"/>
      <c r="H13" s="1"/>
      <c r="I13" s="1"/>
      <c r="J13" s="1" t="s">
        <v>127</v>
      </c>
      <c r="K13" s="1" t="s">
        <v>127</v>
      </c>
      <c r="L13" s="1"/>
      <c r="M13" s="1"/>
      <c r="N13" s="1"/>
      <c r="O13" s="1"/>
    </row>
    <row r="14" spans="1:30" x14ac:dyDescent="0.3">
      <c r="A14" s="1" t="s">
        <v>31</v>
      </c>
      <c r="B14" s="1" t="s">
        <v>42</v>
      </c>
      <c r="C14" s="1" t="s">
        <v>32</v>
      </c>
      <c r="D14" s="1" t="s">
        <v>33</v>
      </c>
      <c r="E14" s="1" t="s">
        <v>35</v>
      </c>
      <c r="F14" s="1" t="s">
        <v>36</v>
      </c>
      <c r="G14" s="1" t="s">
        <v>49</v>
      </c>
      <c r="H14" s="1" t="s">
        <v>112</v>
      </c>
      <c r="I14" s="1" t="s">
        <v>111</v>
      </c>
      <c r="J14" s="1" t="s">
        <v>99</v>
      </c>
      <c r="K14" s="1" t="s">
        <v>76</v>
      </c>
      <c r="L14" s="34" t="s">
        <v>73</v>
      </c>
      <c r="M14" s="34" t="s">
        <v>74</v>
      </c>
      <c r="N14" s="34" t="s">
        <v>78</v>
      </c>
      <c r="O14" s="34" t="s">
        <v>38</v>
      </c>
      <c r="P14" s="20"/>
      <c r="Q14" s="20"/>
      <c r="R14" s="20"/>
      <c r="S14" s="20"/>
      <c r="T14" s="20"/>
      <c r="U14" s="20"/>
      <c r="V14" s="20"/>
    </row>
    <row r="15" spans="1:30" x14ac:dyDescent="0.3">
      <c r="A15" s="1"/>
      <c r="B15" s="1" t="s">
        <v>34</v>
      </c>
      <c r="C15" s="1"/>
      <c r="D15" s="1" t="s">
        <v>34</v>
      </c>
      <c r="E15" s="1" t="s">
        <v>34</v>
      </c>
      <c r="F15" s="1"/>
      <c r="G15" s="1"/>
      <c r="H15" s="1" t="s">
        <v>37</v>
      </c>
      <c r="I15" s="1"/>
      <c r="J15" s="1"/>
      <c r="K15" s="1"/>
      <c r="L15" s="34" t="s">
        <v>70</v>
      </c>
      <c r="M15" s="34" t="s">
        <v>70</v>
      </c>
      <c r="N15" s="34"/>
      <c r="O15" s="34" t="s">
        <v>34</v>
      </c>
      <c r="P15" s="34" t="s">
        <v>133</v>
      </c>
      <c r="Q15" s="34" t="s">
        <v>56</v>
      </c>
      <c r="R15" s="34" t="s">
        <v>57</v>
      </c>
      <c r="S15" s="34" t="s">
        <v>55</v>
      </c>
      <c r="T15" s="34" t="s">
        <v>68</v>
      </c>
      <c r="U15" s="34" t="s">
        <v>69</v>
      </c>
      <c r="V15" s="34" t="s">
        <v>58</v>
      </c>
      <c r="W15" s="1" t="s">
        <v>54</v>
      </c>
      <c r="Y15" s="20"/>
    </row>
    <row r="16" spans="1:30" x14ac:dyDescent="0.3">
      <c r="A16" s="13" t="s">
        <v>17</v>
      </c>
      <c r="B16" s="13">
        <v>4556</v>
      </c>
      <c r="C16" s="13" t="s">
        <v>20</v>
      </c>
      <c r="D16" s="13">
        <v>3457</v>
      </c>
      <c r="E16" s="13">
        <f>$B$16-D16</f>
        <v>1099</v>
      </c>
      <c r="F16" s="3" cm="1">
        <f t="array" ref="F16">als(E16/1000)</f>
        <v>0.38486099840001858</v>
      </c>
      <c r="G16" s="7">
        <v>3</v>
      </c>
      <c r="H16" s="3">
        <v>0.29051309365157102</v>
      </c>
      <c r="I16" s="3">
        <v>0.117715434780598</v>
      </c>
      <c r="J16" s="15">
        <f t="shared" ref="J16:J18" si="14">SQRT(G16)*ABS(H16/1470)*E16</f>
        <v>0.37618952304552489</v>
      </c>
      <c r="K16" s="15">
        <f t="shared" ref="K16" si="15">ABS(I16/1000)*E16</f>
        <v>0.1293692628238772</v>
      </c>
      <c r="L16" s="3">
        <f t="shared" ref="L16:L18" si="16">K16/(E16/1000)</f>
        <v>0.117715434780598</v>
      </c>
      <c r="M16" s="3">
        <v>3.1414552694423699</v>
      </c>
      <c r="N16" s="3" cm="1">
        <f t="array" ref="N16">(E16+2*D16-3712-VgC(M16)*1000)/1470</f>
        <v>0.82856110930745908</v>
      </c>
      <c r="O16" s="12">
        <f t="shared" ref="O16:O18" si="17">(4/3)*F16*(1/3)*(1/2)*E16^3*G16*(H16/1470)^2</f>
        <v>13.301556796741382</v>
      </c>
      <c r="P16" s="10">
        <f t="shared" ref="P16:P18" si="18">3*SQRT(2)*110/(E16)</f>
        <v>0.4246501142703562</v>
      </c>
      <c r="Q16" s="10" cm="1">
        <f t="array" ref="Q16">das(E16/1000)/(F16)</f>
        <v>0.49154863743062072</v>
      </c>
      <c r="R16" s="3">
        <f>K16^2/24</f>
        <v>6.9735025681639227E-4</v>
      </c>
      <c r="S16" s="31">
        <f>3*(0.215*M16-0.028)/(E16/1000)</f>
        <v>1.7672781153688155</v>
      </c>
      <c r="T16" s="3">
        <f t="shared" ref="T16:T18" si="19">(E16/1470)^2/16</f>
        <v>3.4933390022675738E-2</v>
      </c>
      <c r="U16" s="10">
        <f>5*N16/24</f>
        <v>0.17261689777238731</v>
      </c>
      <c r="V16" s="31">
        <f>SQRT(P16^2+Q16^2+R16^2+S16^2+T16^2+U16^2)</f>
        <v>1.8910941650281983</v>
      </c>
      <c r="W16" s="36">
        <f>V16*O16</f>
        <v>25.154496444108798</v>
      </c>
    </row>
    <row r="17" spans="1:25" x14ac:dyDescent="0.3">
      <c r="A17" s="13" t="s">
        <v>18</v>
      </c>
      <c r="B17" s="13">
        <v>4912</v>
      </c>
      <c r="C17" s="13" t="s">
        <v>20</v>
      </c>
      <c r="D17" s="13">
        <v>3457</v>
      </c>
      <c r="E17" s="13">
        <f>$B$17-D17</f>
        <v>1455</v>
      </c>
      <c r="F17" s="3" cm="1">
        <f t="array" ref="F17">als(E17/1000)</f>
        <v>0.33317449313432662</v>
      </c>
      <c r="G17" s="7">
        <v>3</v>
      </c>
      <c r="H17" s="3">
        <v>0.12408486625901</v>
      </c>
      <c r="I17" s="3">
        <v>-0.12263426558543999</v>
      </c>
      <c r="J17" s="15">
        <f t="shared" si="14"/>
        <v>0.21272821839455569</v>
      </c>
      <c r="K17" s="15">
        <f t="shared" ref="K17:K18" si="20">ABS(I17/1000)*E17</f>
        <v>0.1784328564268152</v>
      </c>
      <c r="L17" s="3">
        <f t="shared" si="16"/>
        <v>0.12263426558543999</v>
      </c>
      <c r="M17" s="3">
        <v>3.1414552694423699</v>
      </c>
      <c r="N17" s="3" cm="1">
        <f t="array" ref="N17">(E17+2*D17-3712-VgC(M17)*1000)/1470</f>
        <v>1.0707379800557584</v>
      </c>
      <c r="O17" s="12">
        <f t="shared" si="17"/>
        <v>4.8749754278879696</v>
      </c>
      <c r="P17" s="10">
        <f t="shared" si="18"/>
        <v>0.32074946775472263</v>
      </c>
      <c r="Q17" s="10" cm="1">
        <f t="array" ref="Q17">das(E17/1000)/(F17)</f>
        <v>0.38001694423644761</v>
      </c>
      <c r="R17" s="3">
        <f t="shared" ref="R17:R18" si="21">K17^2/24</f>
        <v>1.3265951771930186E-3</v>
      </c>
      <c r="S17" s="31">
        <f t="shared" ref="S17:S23" si="22">3*(0.215*M17-0.028)/(E17/1000)</f>
        <v>1.3348719235672359</v>
      </c>
      <c r="T17" s="3">
        <f t="shared" si="19"/>
        <v>6.1230997501041232E-2</v>
      </c>
      <c r="U17" s="10">
        <f t="shared" ref="U17:U23" si="23">5*N17/24</f>
        <v>0.22307041251161633</v>
      </c>
      <c r="V17" s="31">
        <f>SQRT(P17^2+Q17^2+R17^2+S17^2+T17^2+U17^2)</f>
        <v>1.4431519515101925</v>
      </c>
      <c r="W17" s="36">
        <f>V17*O17</f>
        <v>7.0353303023207587</v>
      </c>
    </row>
    <row r="18" spans="1:25" x14ac:dyDescent="0.3">
      <c r="A18" s="13"/>
      <c r="B18" s="17"/>
      <c r="C18" s="13" t="s">
        <v>23</v>
      </c>
      <c r="D18" s="13">
        <v>3958</v>
      </c>
      <c r="E18" s="13">
        <f>$B$17-D18</f>
        <v>954</v>
      </c>
      <c r="F18" s="3" cm="1">
        <f t="array" ref="F18">als(E18/1000)</f>
        <v>0.41837366965702139</v>
      </c>
      <c r="G18" s="7">
        <v>3</v>
      </c>
      <c r="H18" s="3">
        <v>0.32554347383062499</v>
      </c>
      <c r="I18" s="3">
        <v>0.314152332576002</v>
      </c>
      <c r="J18" s="15">
        <f t="shared" si="14"/>
        <v>0.36593222874608472</v>
      </c>
      <c r="K18" s="15">
        <f t="shared" si="20"/>
        <v>0.29970132527750593</v>
      </c>
      <c r="L18" s="3">
        <f t="shared" si="16"/>
        <v>0.31415233257600206</v>
      </c>
      <c r="M18" s="3">
        <v>4.6577871743427401</v>
      </c>
      <c r="N18" s="3" cm="1">
        <f t="array" ref="N18">(E18+2*D18-3712-VgC(M18)*1000)/1470</f>
        <v>1.1728587558667825</v>
      </c>
      <c r="O18" s="12">
        <f t="shared" si="17"/>
        <v>11.876856983545203</v>
      </c>
      <c r="P18" s="10">
        <f t="shared" si="18"/>
        <v>0.48919337063220275</v>
      </c>
      <c r="Q18" s="10" cm="1">
        <f t="array" ref="Q18">das(E18/1000)/(F18)</f>
        <v>0.58672932410137524</v>
      </c>
      <c r="R18" s="3">
        <f t="shared" si="21"/>
        <v>3.742536848878892E-3</v>
      </c>
      <c r="S18" s="31">
        <f t="shared" si="22"/>
        <v>3.0610825235336141</v>
      </c>
      <c r="T18" s="3">
        <f t="shared" si="19"/>
        <v>2.6323406913785923E-2</v>
      </c>
      <c r="U18" s="10">
        <f t="shared" si="23"/>
        <v>0.244345574138913</v>
      </c>
      <c r="V18" s="31">
        <f>SQRT(P18^2+Q18^2+R18^2+S18^2+T18^2+U18^2)</f>
        <v>3.1645219792962034</v>
      </c>
      <c r="W18" s="36">
        <f>V18*O18</f>
        <v>37.584574969386402</v>
      </c>
    </row>
    <row r="19" spans="1:25" x14ac:dyDescent="0.3">
      <c r="A19" s="1" t="s">
        <v>0</v>
      </c>
      <c r="B19" s="1"/>
      <c r="C19" s="1" t="s">
        <v>15</v>
      </c>
      <c r="D19" s="1"/>
      <c r="E19" s="1" t="s">
        <v>1</v>
      </c>
      <c r="F19" s="1"/>
      <c r="G19" s="1"/>
      <c r="H19" s="1"/>
      <c r="I19" s="1"/>
      <c r="J19" s="1"/>
      <c r="K19" s="1"/>
      <c r="L19" s="1"/>
      <c r="M19" s="1"/>
      <c r="N19" s="1"/>
      <c r="O19" s="23"/>
      <c r="R19" s="3"/>
      <c r="S19" s="31"/>
      <c r="T19" s="3"/>
      <c r="U19" s="10"/>
      <c r="V19" s="33"/>
    </row>
    <row r="20" spans="1:25" x14ac:dyDescent="0.3">
      <c r="A20" s="13" t="s">
        <v>16</v>
      </c>
      <c r="B20" s="13">
        <v>10772</v>
      </c>
      <c r="C20" s="13" t="s">
        <v>20</v>
      </c>
      <c r="D20" s="13">
        <v>9879</v>
      </c>
      <c r="E20" s="13">
        <f>B20-D20</f>
        <v>893</v>
      </c>
      <c r="F20" s="3" cm="1">
        <f t="array" ref="F20">als(E20/1000)</f>
        <v>0.43638353429254639</v>
      </c>
      <c r="G20" s="7">
        <v>3</v>
      </c>
      <c r="H20" s="3">
        <v>0.84717278201390001</v>
      </c>
      <c r="I20" s="3">
        <v>2.0292795616359598</v>
      </c>
      <c r="J20" s="15">
        <f t="shared" ref="J20:J23" si="24">SQRT(G20)*ABS(H20/4880)*E20</f>
        <v>0.2685123456977726</v>
      </c>
      <c r="K20" s="35">
        <f>ABS(I20/1000)*E20</f>
        <v>1.8121466485409119</v>
      </c>
      <c r="L20" s="3">
        <f>K20/(E20/1000)</f>
        <v>2.0292795616359594</v>
      </c>
      <c r="M20" s="3">
        <v>3.1414552694423699</v>
      </c>
      <c r="N20" s="3" cm="1">
        <f t="array" ref="N20">(E20+2*D20-10537-VgB(M20)*1000)/4880</f>
        <v>4.2210006287288084E-2</v>
      </c>
      <c r="O20" s="12">
        <f t="shared" ref="O20:O23" si="25">(4/3)*F20*(1/3)*(1/2)*E20^3*G20*(H20/4880)^2</f>
        <v>6.2436107191380916</v>
      </c>
      <c r="P20" s="10">
        <f>3*SQRT(2)*33/(E20)</f>
        <v>0.15678291452960408</v>
      </c>
      <c r="Q20" s="10" cm="1">
        <f t="array" ref="Q20">das(E20/1000)/(F20)</f>
        <v>0.64740808068350209</v>
      </c>
      <c r="R20" s="3">
        <f>K20^2/24</f>
        <v>0.13682814482575248</v>
      </c>
      <c r="S20" s="31">
        <f t="shared" si="22"/>
        <v>2.1749592931582624</v>
      </c>
      <c r="T20" s="3">
        <f>(E20/4880)^2/16</f>
        <v>2.0928750041991399E-3</v>
      </c>
      <c r="U20" s="10">
        <f t="shared" si="23"/>
        <v>8.7937513098516832E-3</v>
      </c>
      <c r="V20" s="31">
        <f>SQRT(P20^2+Q20^2+R20^2+S20^2+T20^2+U20^2)</f>
        <v>2.2788088299641376</v>
      </c>
      <c r="W20" s="36">
        <f>V20*O20</f>
        <v>14.227995237630623</v>
      </c>
    </row>
    <row r="21" spans="1:25" x14ac:dyDescent="0.3">
      <c r="A21" s="13" t="s">
        <v>17</v>
      </c>
      <c r="B21" s="13">
        <v>10995</v>
      </c>
      <c r="C21" s="13" t="s">
        <v>20</v>
      </c>
      <c r="D21" s="13">
        <v>9879</v>
      </c>
      <c r="E21" s="13">
        <f t="shared" ref="E21:E22" si="26">B21-D21</f>
        <v>1116</v>
      </c>
      <c r="F21" s="3" cm="1">
        <f t="array" ref="F21">als(E21/1000)</f>
        <v>0.38157787661505249</v>
      </c>
      <c r="G21" s="7">
        <v>3</v>
      </c>
      <c r="H21" s="3">
        <v>0.43750548612972801</v>
      </c>
      <c r="I21" s="3">
        <v>0.55250045209477205</v>
      </c>
      <c r="J21" s="15">
        <f t="shared" si="24"/>
        <v>0.17329598592470483</v>
      </c>
      <c r="K21" s="15">
        <f>ABS(I21/1000)*E21</f>
        <v>0.61659050453776554</v>
      </c>
      <c r="L21" s="3">
        <f t="shared" ref="L21:L23" si="27">K21/(E21/1000)</f>
        <v>0.55250045209477194</v>
      </c>
      <c r="M21" s="3">
        <v>3.1414552694423699</v>
      </c>
      <c r="N21" s="3" cm="1">
        <f t="array" ref="N21">(E21+2*D21-10537-VgB(M21)*1000)/4880</f>
        <v>8.7906727598763487E-2</v>
      </c>
      <c r="O21" s="12">
        <f t="shared" si="25"/>
        <v>2.8419201689270026</v>
      </c>
      <c r="P21" s="10">
        <f t="shared" ref="P21:P23" si="28">3*SQRT(2)*33/(E21)</f>
        <v>0.12545442892019393</v>
      </c>
      <c r="Q21" s="10" cm="1">
        <f t="array" ref="Q21">das(E21/1000)/(F21)</f>
        <v>0.48332723221513207</v>
      </c>
      <c r="R21" s="3">
        <f t="shared" ref="R21:R23" si="29">K21^2/24</f>
        <v>1.5840993761922346E-2</v>
      </c>
      <c r="S21" s="31">
        <f t="shared" si="22"/>
        <v>1.7403572121777133</v>
      </c>
      <c r="T21" s="3">
        <f t="shared" ref="T21:T23" si="30">(E21/4880)^2/16</f>
        <v>3.2686525799516257E-3</v>
      </c>
      <c r="U21" s="10">
        <f t="shared" si="23"/>
        <v>1.8313901583075727E-2</v>
      </c>
      <c r="V21" s="31">
        <f>SQRT(P21^2+Q21^2+R21^2+S21^2+T21^2+U21^2)</f>
        <v>1.8107413601284041</v>
      </c>
      <c r="W21" s="36">
        <f>V21*O21</f>
        <v>5.1459823920592251</v>
      </c>
    </row>
    <row r="22" spans="1:25" x14ac:dyDescent="0.3">
      <c r="A22" s="13" t="s">
        <v>18</v>
      </c>
      <c r="B22" s="13">
        <v>11209</v>
      </c>
      <c r="C22" s="13" t="s">
        <v>20</v>
      </c>
      <c r="D22" s="13">
        <v>9879</v>
      </c>
      <c r="E22" s="13">
        <f t="shared" si="26"/>
        <v>1330</v>
      </c>
      <c r="F22" s="3" cm="1">
        <f t="array" ref="F22">als(E22/1000)</f>
        <v>0.34799842113136747</v>
      </c>
      <c r="G22" s="7">
        <v>3</v>
      </c>
      <c r="H22" s="3">
        <v>0.234857684181874</v>
      </c>
      <c r="I22" s="3">
        <v>0.126195222110114</v>
      </c>
      <c r="J22" s="15">
        <f t="shared" si="24"/>
        <v>0.11086570435712943</v>
      </c>
      <c r="K22" s="15">
        <f>ABS(I22/1000)*E22</f>
        <v>0.16783964540645163</v>
      </c>
      <c r="L22" s="3">
        <f t="shared" si="27"/>
        <v>0.126195222110114</v>
      </c>
      <c r="M22" s="3">
        <v>3.1414552694423699</v>
      </c>
      <c r="N22" s="3" cm="1">
        <f t="array" ref="N22">(E22+2*D22-10537-VgB(M22)*1000)/4880</f>
        <v>0.13175918661515693</v>
      </c>
      <c r="O22" s="14">
        <f t="shared" si="25"/>
        <v>1.2641856078796405</v>
      </c>
      <c r="P22" s="10">
        <f t="shared" si="28"/>
        <v>0.10526852832701987</v>
      </c>
      <c r="Q22" s="10" cm="1">
        <f t="array" ref="Q22">das(E22/1000)/(F22)</f>
        <v>0.40851641828573676</v>
      </c>
      <c r="R22" s="3">
        <f t="shared" si="29"/>
        <v>1.1737561070901425E-3</v>
      </c>
      <c r="S22" s="31">
        <f t="shared" si="22"/>
        <v>1.4603298111205474</v>
      </c>
      <c r="T22" s="3">
        <f t="shared" si="30"/>
        <v>4.6424117340768609E-3</v>
      </c>
      <c r="U22" s="10">
        <f t="shared" si="23"/>
        <v>2.7449830544824361E-2</v>
      </c>
      <c r="V22" s="31">
        <f>SQRT(P22^2+Q22^2+R22^2+S22^2+T22^2+U22^2)</f>
        <v>1.5202982296903342</v>
      </c>
      <c r="W22" s="56">
        <f>V22*O22</f>
        <v>1.9219391416594165</v>
      </c>
    </row>
    <row r="23" spans="1:25" x14ac:dyDescent="0.3">
      <c r="A23" s="13"/>
      <c r="B23" s="17"/>
      <c r="C23" s="13" t="s">
        <v>23</v>
      </c>
      <c r="D23" s="13">
        <v>10234</v>
      </c>
      <c r="E23" s="13">
        <f>B22-D23</f>
        <v>975</v>
      </c>
      <c r="F23" s="3" cm="1">
        <f t="array" ref="F23">als(E23/1000)</f>
        <v>0.41279711872026648</v>
      </c>
      <c r="G23" s="7">
        <v>3</v>
      </c>
      <c r="H23" s="3">
        <v>0.44077144471732699</v>
      </c>
      <c r="I23" s="3">
        <v>0.83847373639290201</v>
      </c>
      <c r="J23" s="15">
        <f t="shared" si="24"/>
        <v>0.15253126503207956</v>
      </c>
      <c r="K23" s="15">
        <f>ABS(I23/1000)*E23</f>
        <v>0.81751189298307947</v>
      </c>
      <c r="L23" s="3">
        <f t="shared" si="27"/>
        <v>0.83847373639290201</v>
      </c>
      <c r="M23" s="3">
        <v>4.6577871743427401</v>
      </c>
      <c r="N23" s="3" cm="1">
        <f t="array" ref="N23">(E23+2*D23-10537-VgB(M23)*1000)/4880</f>
        <v>0.13260294490249397</v>
      </c>
      <c r="O23" s="14">
        <f t="shared" si="25"/>
        <v>2.0808774481888985</v>
      </c>
      <c r="P23" s="10">
        <f t="shared" si="28"/>
        <v>0.14359706941019121</v>
      </c>
      <c r="Q23" s="10" cm="1">
        <f t="array" ref="Q23">das(E23/1000)/(F23)</f>
        <v>0.56936225787838635</v>
      </c>
      <c r="R23" s="3">
        <f t="shared" si="29"/>
        <v>2.7846903965365748E-2</v>
      </c>
      <c r="S23" s="31">
        <f t="shared" si="22"/>
        <v>2.9951515153344284</v>
      </c>
      <c r="T23" s="3">
        <f t="shared" si="30"/>
        <v>2.4948796736428383E-3</v>
      </c>
      <c r="U23" s="10">
        <f t="shared" si="23"/>
        <v>2.7625613521352909E-2</v>
      </c>
      <c r="V23" s="31">
        <f>SQRT(P23^2+Q23^2+R23^2+S23^2+T23^2+U23^2)</f>
        <v>3.0524205063944199</v>
      </c>
      <c r="W23" s="56">
        <f>V23*O23</f>
        <v>6.351712994145486</v>
      </c>
    </row>
    <row r="25" spans="1:25" x14ac:dyDescent="0.3">
      <c r="A25" s="1" t="s">
        <v>0</v>
      </c>
      <c r="B25" s="1"/>
      <c r="C25" s="1" t="s">
        <v>12</v>
      </c>
      <c r="D25" s="1"/>
      <c r="E25" s="1" t="s">
        <v>1</v>
      </c>
      <c r="F25" s="1"/>
      <c r="G25" s="1"/>
      <c r="H25" s="1"/>
      <c r="I25" s="1"/>
      <c r="J25" s="1"/>
      <c r="K25" s="1"/>
      <c r="L25" s="1" t="s">
        <v>127</v>
      </c>
      <c r="M25" s="1" t="s">
        <v>127</v>
      </c>
      <c r="N25" s="1"/>
      <c r="O25" s="1"/>
      <c r="P25" s="1"/>
      <c r="Q25" s="1"/>
      <c r="Y25" s="16"/>
    </row>
    <row r="26" spans="1:25" x14ac:dyDescent="0.3">
      <c r="A26" s="1" t="s">
        <v>31</v>
      </c>
      <c r="B26" s="1" t="s">
        <v>42</v>
      </c>
      <c r="C26" s="1" t="s">
        <v>32</v>
      </c>
      <c r="D26" s="1" t="s">
        <v>33</v>
      </c>
      <c r="E26" s="1" t="s">
        <v>35</v>
      </c>
      <c r="F26" s="1" t="s">
        <v>36</v>
      </c>
      <c r="G26" s="1" t="s">
        <v>49</v>
      </c>
      <c r="H26" s="1" t="s">
        <v>115</v>
      </c>
      <c r="I26" s="1" t="s">
        <v>116</v>
      </c>
      <c r="J26" s="1" t="s">
        <v>113</v>
      </c>
      <c r="K26" s="1" t="s">
        <v>114</v>
      </c>
      <c r="L26" s="1" t="s">
        <v>110</v>
      </c>
      <c r="M26" s="1" t="s">
        <v>76</v>
      </c>
      <c r="N26" s="34" t="s">
        <v>73</v>
      </c>
      <c r="O26" s="34" t="s">
        <v>74</v>
      </c>
      <c r="P26" s="34" t="s">
        <v>78</v>
      </c>
      <c r="Q26" s="34" t="s">
        <v>38</v>
      </c>
      <c r="R26" s="20"/>
      <c r="S26" s="20"/>
      <c r="T26" s="20"/>
      <c r="U26" s="20"/>
      <c r="V26" s="20"/>
      <c r="W26" s="20"/>
      <c r="X26" s="20"/>
    </row>
    <row r="27" spans="1:25" x14ac:dyDescent="0.3">
      <c r="A27" s="1"/>
      <c r="B27" s="1" t="s">
        <v>34</v>
      </c>
      <c r="C27" s="1"/>
      <c r="D27" s="1" t="s">
        <v>34</v>
      </c>
      <c r="E27" s="1" t="s">
        <v>34</v>
      </c>
      <c r="F27" s="1"/>
      <c r="G27" s="1"/>
      <c r="H27" s="1" t="s">
        <v>37</v>
      </c>
      <c r="I27" s="1" t="s">
        <v>37</v>
      </c>
      <c r="J27" s="1"/>
      <c r="K27" s="1"/>
      <c r="L27" s="1"/>
      <c r="M27" s="1"/>
      <c r="N27" s="34" t="s">
        <v>70</v>
      </c>
      <c r="O27" s="34" t="s">
        <v>70</v>
      </c>
      <c r="P27" s="34"/>
      <c r="Q27" s="34" t="s">
        <v>34</v>
      </c>
      <c r="R27" s="34" t="s">
        <v>133</v>
      </c>
      <c r="S27" s="34" t="s">
        <v>56</v>
      </c>
      <c r="T27" s="34" t="s">
        <v>57</v>
      </c>
      <c r="U27" s="34" t="s">
        <v>55</v>
      </c>
      <c r="V27" s="34" t="s">
        <v>68</v>
      </c>
      <c r="W27" s="34" t="s">
        <v>69</v>
      </c>
      <c r="X27" s="34" t="s">
        <v>58</v>
      </c>
      <c r="Y27" s="1" t="s">
        <v>54</v>
      </c>
    </row>
    <row r="28" spans="1:25" x14ac:dyDescent="0.3">
      <c r="A28" s="13" t="s">
        <v>30</v>
      </c>
      <c r="B28" s="13">
        <v>4394</v>
      </c>
      <c r="C28" s="13" t="s">
        <v>3</v>
      </c>
      <c r="D28" s="13">
        <v>3068</v>
      </c>
      <c r="E28" s="13">
        <f>B28-D28</f>
        <v>1326</v>
      </c>
      <c r="F28" s="10" cm="1">
        <f t="array" ref="F28">als(E28/1000)</f>
        <v>0.34852052664805511</v>
      </c>
      <c r="G28" s="7">
        <v>3</v>
      </c>
      <c r="H28" s="10"/>
      <c r="I28" s="10">
        <v>-0.36099782459252899</v>
      </c>
      <c r="J28" s="10"/>
      <c r="K28" s="10">
        <v>-0.245959982062324</v>
      </c>
      <c r="L28" s="41">
        <f t="shared" ref="L28:L33" si="31">SQRT(G28)*ABS(I28/1470)*E28</f>
        <v>0.56401597048635743</v>
      </c>
      <c r="M28" s="41">
        <f t="shared" ref="M28:M33" si="32">ABS(K28/1000)*E28</f>
        <v>0.32614293621464163</v>
      </c>
      <c r="N28" s="3">
        <f t="shared" ref="N28:N33" si="33">M28/(E28/1000)</f>
        <v>0.245959982062324</v>
      </c>
      <c r="O28" s="10">
        <v>2.0555394826094102</v>
      </c>
      <c r="P28" s="3" cm="1">
        <f t="array" ref="P28">(E28+2*D28-3712-VgC(O28)*1000)/1470</f>
        <v>0.64001134758884759</v>
      </c>
      <c r="Q28" s="42">
        <f t="shared" ref="Q28:Q33" si="34">(4/3)*F28*(1/3)*(1/2)*E28^3*G28*(I28/1470)^2</f>
        <v>32.669476467290018</v>
      </c>
      <c r="R28" s="10">
        <f t="shared" ref="R28" si="35">3*SQRT(2)*110/(E28)</f>
        <v>0.3519536014955667</v>
      </c>
      <c r="S28" s="10" cm="1">
        <f t="array" ref="S28">das(E28/1000)/(F28)</f>
        <v>0.40956489280601449</v>
      </c>
      <c r="T28" s="3">
        <f>M28^2/24</f>
        <v>4.4320506184461579E-3</v>
      </c>
      <c r="U28" s="10">
        <f>3*(0.215*O28-0.028)/(E28/1000)</f>
        <v>0.93651807411996191</v>
      </c>
      <c r="V28" s="3">
        <f t="shared" ref="V28:V33" si="36">(E28/1470)^2/16</f>
        <v>5.0854852144939615E-2</v>
      </c>
      <c r="W28" s="10">
        <f>5*P28/24</f>
        <v>0.13333569741434326</v>
      </c>
      <c r="X28" s="31">
        <f t="shared" ref="X28:X33" si="37">SQRT(R28^2+S28^2+T28^2+U28^2+V28^2+W28^2)</f>
        <v>1.0904426208850249</v>
      </c>
      <c r="Y28" s="59">
        <f t="shared" ref="Y28:Y33" si="38">X28*Q28</f>
        <v>35.624189541933369</v>
      </c>
    </row>
    <row r="29" spans="1:25" s="5" customFormat="1" x14ac:dyDescent="0.3">
      <c r="A29" s="13" t="s">
        <v>30</v>
      </c>
      <c r="B29" s="57">
        <v>4374</v>
      </c>
      <c r="C29" s="13" t="s">
        <v>3</v>
      </c>
      <c r="D29" s="57">
        <v>3097</v>
      </c>
      <c r="E29" s="17">
        <f>B29-D29</f>
        <v>1277</v>
      </c>
      <c r="F29" s="10" cm="1">
        <f t="array" ref="F29">als(E29/1000)</f>
        <v>0.35519495759751307</v>
      </c>
      <c r="G29" s="7">
        <v>3</v>
      </c>
      <c r="H29" s="10"/>
      <c r="I29" s="10">
        <v>-0.36099782459252899</v>
      </c>
      <c r="J29" s="10"/>
      <c r="K29" s="10">
        <v>-0.245959982062324</v>
      </c>
      <c r="L29" s="41">
        <f t="shared" si="31"/>
        <v>0.54317375136582091</v>
      </c>
      <c r="M29" s="41">
        <f t="shared" si="32"/>
        <v>0.31409089709358778</v>
      </c>
      <c r="N29" s="3">
        <f t="shared" ref="N29" si="39">M29/(E29/1000)</f>
        <v>0.24595998206232406</v>
      </c>
      <c r="O29" s="10">
        <v>2.0555394826094102</v>
      </c>
      <c r="P29" s="3" cm="1">
        <f t="array" ref="P29">(E29+2*D29-3712-VgC(O29)*1000)/1470</f>
        <v>0.6461337965684395</v>
      </c>
      <c r="Q29" s="61">
        <f t="shared" si="34"/>
        <v>29.73875100690535</v>
      </c>
      <c r="R29" s="58">
        <v>0</v>
      </c>
      <c r="S29" s="10" cm="1">
        <f t="array" ref="S29">das(E29/1000)/(F29)</f>
        <v>0.42325863067081854</v>
      </c>
      <c r="T29" s="3">
        <f t="shared" ref="T29:T33" si="40">M29^2/24</f>
        <v>4.1105454848772817E-3</v>
      </c>
      <c r="U29" s="10">
        <f t="shared" ref="U29:U43" si="41">3*(0.215*O29-0.028)/(E29/1000)</f>
        <v>0.97245338001806547</v>
      </c>
      <c r="V29" s="3">
        <f t="shared" ref="V29" si="42">(E29/1470)^2/16</f>
        <v>4.7165793188023518E-2</v>
      </c>
      <c r="W29" s="10">
        <f t="shared" ref="W29:W43" si="43">5*P29/24</f>
        <v>0.13461120761842491</v>
      </c>
      <c r="X29" s="31">
        <f t="shared" si="37"/>
        <v>1.0701285579749873</v>
      </c>
      <c r="Y29" s="61">
        <f t="shared" si="38"/>
        <v>31.824286730996825</v>
      </c>
    </row>
    <row r="30" spans="1:25" s="5" customFormat="1" x14ac:dyDescent="0.3">
      <c r="A30" s="13" t="s">
        <v>30</v>
      </c>
      <c r="B30" s="57">
        <v>4415</v>
      </c>
      <c r="C30" s="13" t="s">
        <v>3</v>
      </c>
      <c r="D30" s="57">
        <v>3097</v>
      </c>
      <c r="E30" s="17">
        <f>B30-D30</f>
        <v>1318</v>
      </c>
      <c r="F30" s="10" cm="1">
        <f t="array" ref="F30">als(E30/1000)</f>
        <v>0.34957467087118532</v>
      </c>
      <c r="G30" s="7">
        <v>3</v>
      </c>
      <c r="H30" s="10"/>
      <c r="I30" s="10">
        <v>-0.36099782459252899</v>
      </c>
      <c r="J30" s="10"/>
      <c r="K30" s="10">
        <v>-0.245959982062324</v>
      </c>
      <c r="L30" s="11">
        <f t="shared" si="31"/>
        <v>0.56061315920137189</v>
      </c>
      <c r="M30" s="11">
        <f t="shared" si="32"/>
        <v>0.32417525635814304</v>
      </c>
      <c r="N30" s="3">
        <f t="shared" ref="N30" si="44">M30/(E30/1000)</f>
        <v>0.245959982062324</v>
      </c>
      <c r="O30" s="10">
        <v>2.0555394826094102</v>
      </c>
      <c r="P30" s="3" cm="1">
        <f t="array" ref="P30">(E30+2*D30-3712-VgC(O30)*1000)/1470</f>
        <v>0.6740249530310245</v>
      </c>
      <c r="Q30" s="61">
        <f t="shared" si="34"/>
        <v>32.178769233424028</v>
      </c>
      <c r="R30" s="58">
        <v>0</v>
      </c>
      <c r="S30" s="10" cm="1">
        <f t="array" ref="S30">das(E30/1000)/(F30)</f>
        <v>0.4116916303421968</v>
      </c>
      <c r="T30" s="3">
        <f t="shared" si="40"/>
        <v>4.3787332014528233E-3</v>
      </c>
      <c r="U30" s="10">
        <f t="shared" si="41"/>
        <v>0.94220255408427123</v>
      </c>
      <c r="V30" s="3">
        <f t="shared" ref="V30" si="45">(E30/1470)^2/16</f>
        <v>5.0243070017122499E-2</v>
      </c>
      <c r="W30" s="10">
        <f t="shared" si="43"/>
        <v>0.14042186521479677</v>
      </c>
      <c r="X30" s="31">
        <f t="shared" si="37"/>
        <v>1.0389886866738913</v>
      </c>
      <c r="Y30" s="61">
        <f t="shared" si="38"/>
        <v>33.433377184617449</v>
      </c>
    </row>
    <row r="31" spans="1:25" x14ac:dyDescent="0.3">
      <c r="A31" s="13" t="s">
        <v>53</v>
      </c>
      <c r="B31" s="13">
        <v>4678</v>
      </c>
      <c r="C31" s="13" t="s">
        <v>3</v>
      </c>
      <c r="D31" s="13">
        <v>3068</v>
      </c>
      <c r="E31" s="13">
        <f t="shared" ref="E31" si="46">B31-D31</f>
        <v>1610</v>
      </c>
      <c r="F31" s="10" cm="1">
        <f t="array" ref="F31">als(E31/1000)</f>
        <v>0.31802674514116458</v>
      </c>
      <c r="G31" s="7">
        <v>3</v>
      </c>
      <c r="H31" s="10"/>
      <c r="I31" s="10">
        <v>-2.8812877642666601E-2</v>
      </c>
      <c r="J31" s="10"/>
      <c r="K31" s="10">
        <v>-0.35414233675566298</v>
      </c>
      <c r="L31" s="41">
        <f t="shared" si="31"/>
        <v>5.4658260178827162E-2</v>
      </c>
      <c r="M31" s="41">
        <f t="shared" si="32"/>
        <v>0.57016916217661739</v>
      </c>
      <c r="N31" s="3">
        <f t="shared" si="33"/>
        <v>0.35414233675566298</v>
      </c>
      <c r="O31" s="10">
        <v>2.0555394826094102</v>
      </c>
      <c r="P31" s="3" cm="1">
        <f t="array" ref="P31">(E31+2*D31-3712-VgC(O31)*1000)/1470</f>
        <v>0.83320862650041227</v>
      </c>
      <c r="Q31" s="43">
        <f t="shared" si="34"/>
        <v>0.33992931091760131</v>
      </c>
      <c r="R31" s="10">
        <f t="shared" ref="R31:R33" si="47">3*SQRT(2)*110/(E31)</f>
        <v>0.28986986061063441</v>
      </c>
      <c r="S31" s="10" cm="1">
        <f t="array" ref="S31">das(E31/1000)/(F31)</f>
        <v>0.35316188646350255</v>
      </c>
      <c r="T31" s="3">
        <f t="shared" si="40"/>
        <v>1.3545536395716077E-2</v>
      </c>
      <c r="U31" s="10">
        <f t="shared" si="41"/>
        <v>0.7713186125981798</v>
      </c>
      <c r="V31" s="3">
        <f t="shared" si="36"/>
        <v>7.4971655328798195E-2</v>
      </c>
      <c r="W31" s="10">
        <f t="shared" si="43"/>
        <v>0.1735851305209192</v>
      </c>
      <c r="X31" s="10">
        <f t="shared" si="37"/>
        <v>0.91630578110051331</v>
      </c>
      <c r="Y31" s="41">
        <f t="shared" si="38"/>
        <v>0.31147919275931191</v>
      </c>
    </row>
    <row r="32" spans="1:25" s="5" customFormat="1" x14ac:dyDescent="0.3">
      <c r="A32" s="13" t="s">
        <v>53</v>
      </c>
      <c r="B32" s="57">
        <v>4623</v>
      </c>
      <c r="C32" s="13" t="s">
        <v>3</v>
      </c>
      <c r="D32" s="57">
        <v>3097</v>
      </c>
      <c r="E32" s="17">
        <f>B32-D32</f>
        <v>1526</v>
      </c>
      <c r="F32" s="10" cm="1">
        <f t="array" ref="F32">als(E32/1000)</f>
        <v>0.3258544166977933</v>
      </c>
      <c r="G32" s="7">
        <v>3</v>
      </c>
      <c r="H32" s="10"/>
      <c r="I32" s="10">
        <v>-2.8812877642666601E-2</v>
      </c>
      <c r="J32" s="10"/>
      <c r="K32" s="10">
        <v>-0.35414233675566298</v>
      </c>
      <c r="L32" s="11">
        <f t="shared" si="31"/>
        <v>5.1806524865149223E-2</v>
      </c>
      <c r="M32" s="11">
        <f t="shared" si="32"/>
        <v>0.54042120588914166</v>
      </c>
      <c r="N32" s="3">
        <f t="shared" ref="N32" si="48">M32/(E32/1000)</f>
        <v>0.35414233675566292</v>
      </c>
      <c r="O32" s="10">
        <v>2.0555394826094102</v>
      </c>
      <c r="P32" s="3" cm="1">
        <f t="array" ref="P32">(E32+2*D32-3712-VgC(O32)*1000)/1470</f>
        <v>0.81552155167048024</v>
      </c>
      <c r="Q32" s="62">
        <f t="shared" si="34"/>
        <v>0.29657501025959543</v>
      </c>
      <c r="R32" s="58">
        <v>0</v>
      </c>
      <c r="S32" s="10" cm="1">
        <f t="array" ref="S32">das(E32/1000)/(F32)</f>
        <v>0.36677604724035806</v>
      </c>
      <c r="T32" s="3">
        <f t="shared" si="40"/>
        <v>1.2168961657278085E-2</v>
      </c>
      <c r="U32" s="10">
        <f t="shared" si="41"/>
        <v>0.81377651787881355</v>
      </c>
      <c r="V32" s="3">
        <f t="shared" ref="V32" si="49">(E32/1470)^2/16</f>
        <v>6.7352607709750573E-2</v>
      </c>
      <c r="W32" s="10">
        <f t="shared" si="43"/>
        <v>0.16990032326468338</v>
      </c>
      <c r="X32" s="10">
        <f t="shared" si="37"/>
        <v>0.91121208679362464</v>
      </c>
      <c r="Y32" s="60">
        <f t="shared" si="38"/>
        <v>0.27024273398948656</v>
      </c>
    </row>
    <row r="33" spans="1:25" x14ac:dyDescent="0.3">
      <c r="A33" s="13"/>
      <c r="B33" s="17"/>
      <c r="C33" s="13" t="s">
        <v>4</v>
      </c>
      <c r="D33" s="13">
        <v>3674</v>
      </c>
      <c r="E33" s="13">
        <f>B31-D33</f>
        <v>1004</v>
      </c>
      <c r="F33" s="10" cm="1">
        <f t="array" ref="F33">als(E33/1000)</f>
        <v>0.40554700804682658</v>
      </c>
      <c r="G33" s="7">
        <v>3</v>
      </c>
      <c r="H33" s="10"/>
      <c r="I33" s="10">
        <v>0.40384504746446298</v>
      </c>
      <c r="J33" s="10"/>
      <c r="K33" s="10">
        <v>1.8910206420795299</v>
      </c>
      <c r="L33" s="11">
        <f t="shared" si="31"/>
        <v>0.47774017765706717</v>
      </c>
      <c r="M33" s="32">
        <f t="shared" si="32"/>
        <v>1.898584724647848</v>
      </c>
      <c r="N33" s="24">
        <f t="shared" si="33"/>
        <v>1.8910206420795299</v>
      </c>
      <c r="O33" s="10">
        <v>3.83841691381935</v>
      </c>
      <c r="P33" s="3" cm="1">
        <f t="array" ref="P33">(E33+2*D33-3712-VgC(O33)*1000)/1470</f>
        <v>0.94780009560024348</v>
      </c>
      <c r="Q33" s="12">
        <f t="shared" si="34"/>
        <v>20.651230502723422</v>
      </c>
      <c r="R33" s="10">
        <f t="shared" si="47"/>
        <v>0.46483115097920463</v>
      </c>
      <c r="S33" s="10" cm="1">
        <f t="array" ref="S33">das(E33/1000)/(F33)</f>
        <v>0.54773610961071928</v>
      </c>
      <c r="T33" s="3">
        <f t="shared" si="40"/>
        <v>0.15019266486108937</v>
      </c>
      <c r="U33" s="31">
        <f t="shared" si="41"/>
        <v>2.3822499097743832</v>
      </c>
      <c r="V33" s="3">
        <f t="shared" si="36"/>
        <v>2.9154981720579391E-2</v>
      </c>
      <c r="W33" s="10">
        <f t="shared" si="43"/>
        <v>0.19745835325005071</v>
      </c>
      <c r="X33" s="31">
        <f t="shared" si="37"/>
        <v>2.5007189222536823</v>
      </c>
      <c r="Y33" s="36">
        <f t="shared" si="38"/>
        <v>51.642922885982884</v>
      </c>
    </row>
    <row r="34" spans="1:25" x14ac:dyDescent="0.3">
      <c r="A34" s="1" t="s">
        <v>0</v>
      </c>
      <c r="B34" s="1"/>
      <c r="C34" s="1" t="s">
        <v>15</v>
      </c>
      <c r="D34" s="1"/>
      <c r="E34" s="1" t="s">
        <v>1</v>
      </c>
      <c r="F34" s="1"/>
      <c r="G34" s="22"/>
      <c r="H34" s="1"/>
      <c r="I34" s="1"/>
      <c r="J34" s="1"/>
      <c r="K34" s="1"/>
      <c r="L34" s="1"/>
      <c r="M34" s="1"/>
      <c r="N34" s="1"/>
      <c r="O34" s="1"/>
      <c r="P34" s="1"/>
      <c r="Q34" s="1"/>
      <c r="T34" s="3"/>
      <c r="U34" s="10"/>
      <c r="V34" s="3"/>
      <c r="W34" s="10"/>
    </row>
    <row r="35" spans="1:25" x14ac:dyDescent="0.3">
      <c r="A35" s="13" t="s">
        <v>19</v>
      </c>
      <c r="B35" s="13">
        <v>10704</v>
      </c>
      <c r="C35" s="13" t="s">
        <v>3</v>
      </c>
      <c r="D35" s="13">
        <v>9551</v>
      </c>
      <c r="E35" s="13">
        <f>B35-D35</f>
        <v>1153</v>
      </c>
      <c r="F35" s="10" cm="1">
        <f t="array" ref="F35">als(E35/1000)</f>
        <v>0.37480290298963193</v>
      </c>
      <c r="G35" s="7">
        <v>3</v>
      </c>
      <c r="H35" s="10"/>
      <c r="I35" s="10">
        <v>-0.77441107009168597</v>
      </c>
      <c r="J35" s="10"/>
      <c r="K35" s="10">
        <v>-1.2383353208880601</v>
      </c>
      <c r="L35" s="41">
        <f t="shared" ref="L35:L42" si="50">SQRT(G35)*ABS(I35/4880)*E35</f>
        <v>0.3169141752463111</v>
      </c>
      <c r="M35" s="44">
        <f t="shared" ref="M35:M42" si="51">ABS(K35/1000)*E35</f>
        <v>1.4278006249839335</v>
      </c>
      <c r="N35" s="3">
        <f>M35/(E35/1000)</f>
        <v>1.2383353208880603</v>
      </c>
      <c r="O35" s="10">
        <v>1.20873770697426</v>
      </c>
      <c r="P35" s="3" cm="1">
        <f t="array" ref="P35">(E35+2*D35-10537-VgB(O35)*1000)/4880</f>
        <v>7.124500731039253E-2</v>
      </c>
      <c r="Q35" s="42">
        <f t="shared" ref="Q35:Q42" si="52">(4/3)*F35*(1/3)*(1/2)*E35^3*G35*(I35/4880)^2</f>
        <v>9.645018608160747</v>
      </c>
      <c r="R35" s="10">
        <f t="shared" ref="R35:R43" si="53">3*SQRT(2)*33/(E35)</f>
        <v>0.12142857127054331</v>
      </c>
      <c r="S35" s="10" cm="1">
        <f t="array" ref="S35">das(E35/1000)/(F35)</f>
        <v>0.46691568505069853</v>
      </c>
      <c r="T35" s="3">
        <f t="shared" ref="T35:T43" si="54">M35^2/24</f>
        <v>8.4942276029354627E-2</v>
      </c>
      <c r="U35" s="10">
        <f>3*(0.215*O35-0.028)/(E35/1000)</f>
        <v>0.60332681786504572</v>
      </c>
      <c r="V35" s="3">
        <f>(E35/4880)^2/16</f>
        <v>3.488984081060199E-3</v>
      </c>
      <c r="W35" s="10">
        <f t="shared" si="43"/>
        <v>1.4842709856331777E-2</v>
      </c>
      <c r="X35" s="10">
        <f>SQRT(R35^2+S35^2+T35^2+U35^2+V35^2+W35^2)</f>
        <v>0.77730693636759396</v>
      </c>
      <c r="Y35" s="42">
        <f t="shared" ref="Y35:Y43" si="55">X35*Q35</f>
        <v>7.4971398655178652</v>
      </c>
    </row>
    <row r="36" spans="1:25" s="5" customFormat="1" x14ac:dyDescent="0.3">
      <c r="A36" s="13" t="s">
        <v>19</v>
      </c>
      <c r="B36" s="57">
        <v>10753</v>
      </c>
      <c r="C36" s="13" t="s">
        <v>3</v>
      </c>
      <c r="D36" s="57">
        <v>9460</v>
      </c>
      <c r="E36" s="17">
        <f>B36-D36</f>
        <v>1293</v>
      </c>
      <c r="F36" s="10" cm="1">
        <f t="array" ref="F36">als(E36/1000)</f>
        <v>0.35295703825087299</v>
      </c>
      <c r="G36" s="7">
        <v>3</v>
      </c>
      <c r="H36" s="10"/>
      <c r="I36" s="10">
        <v>-0.77441107009168597</v>
      </c>
      <c r="J36" s="10"/>
      <c r="K36" s="10">
        <v>-1.2383353208880601</v>
      </c>
      <c r="L36" s="11">
        <f t="shared" si="50"/>
        <v>0.35539464752253275</v>
      </c>
      <c r="M36" s="32">
        <f t="shared" si="51"/>
        <v>1.6011675699082617</v>
      </c>
      <c r="N36" s="3">
        <f>M36/(E36/1000)</f>
        <v>1.2383353208880601</v>
      </c>
      <c r="O36" s="10">
        <v>1.20873770697426</v>
      </c>
      <c r="P36" s="3" cm="1">
        <f t="array" ref="P36">(E36+2*D36-10537-VgB(O36)*1000)/4880</f>
        <v>6.2638449933343346E-2</v>
      </c>
      <c r="Q36" s="61">
        <f t="shared" si="52"/>
        <v>12.809424643395101</v>
      </c>
      <c r="R36" s="58">
        <v>0</v>
      </c>
      <c r="S36" s="10" cm="1">
        <f t="array" ref="S36">das(E36/1000)/(F36)</f>
        <v>0.4186060538321994</v>
      </c>
      <c r="T36" s="3">
        <f t="shared" ref="T36" si="56">M36^2/24</f>
        <v>0.10682239945524701</v>
      </c>
      <c r="U36" s="10">
        <f t="shared" si="41"/>
        <v>0.53800140835142907</v>
      </c>
      <c r="V36" s="3">
        <f>(E36/4880)^2/16</f>
        <v>4.3877050230112869E-3</v>
      </c>
      <c r="W36" s="10">
        <f t="shared" si="43"/>
        <v>1.3049677069446529E-2</v>
      </c>
      <c r="X36" s="10">
        <f>SQRT(R36^2+S36^2+T36^2+U36^2+V36^2+W36^2)</f>
        <v>0.69012833208429392</v>
      </c>
      <c r="Y36" s="61">
        <f t="shared" si="55"/>
        <v>8.8401468641057122</v>
      </c>
    </row>
    <row r="37" spans="1:25" x14ac:dyDescent="0.3">
      <c r="A37" s="13" t="s">
        <v>30</v>
      </c>
      <c r="B37" s="13">
        <v>10905</v>
      </c>
      <c r="C37" s="13" t="s">
        <v>3</v>
      </c>
      <c r="D37" s="13">
        <v>9551</v>
      </c>
      <c r="E37" s="13">
        <f t="shared" ref="E37:E40" si="57">B37-D37</f>
        <v>1354</v>
      </c>
      <c r="F37" s="10" cm="1">
        <f t="array" ref="F37">als(E37/1000)</f>
        <v>0.34493321671947547</v>
      </c>
      <c r="G37" s="7">
        <v>3</v>
      </c>
      <c r="H37" s="10"/>
      <c r="I37" s="10">
        <v>-0.489310314063434</v>
      </c>
      <c r="J37" s="10"/>
      <c r="K37" s="10">
        <v>-0.48105742628392401</v>
      </c>
      <c r="L37" s="41">
        <f t="shared" si="50"/>
        <v>0.2351493810538374</v>
      </c>
      <c r="M37" s="41">
        <f t="shared" si="51"/>
        <v>0.65135175518843313</v>
      </c>
      <c r="N37" s="3">
        <f t="shared" ref="N37:N43" si="58">M37/(E37/1000)</f>
        <v>0.48105742628392401</v>
      </c>
      <c r="O37" s="10">
        <v>1.20873770697426</v>
      </c>
      <c r="P37" s="3" cm="1">
        <f t="array" ref="P37">(E37+2*D37-10537-VgB(O37)*1000)/4880</f>
        <v>0.11243353190055647</v>
      </c>
      <c r="Q37" s="42">
        <f t="shared" si="52"/>
        <v>5.7389025336629027</v>
      </c>
      <c r="R37" s="10">
        <f t="shared" si="53"/>
        <v>0.10340261645120859</v>
      </c>
      <c r="S37" s="10" cm="1">
        <f t="array" ref="S37">das(E37/1000)/(F37)</f>
        <v>0.40242501037518047</v>
      </c>
      <c r="T37" s="3">
        <f t="shared" si="54"/>
        <v>1.7677462874460523E-2</v>
      </c>
      <c r="U37" s="10">
        <f t="shared" si="41"/>
        <v>0.51376353101801897</v>
      </c>
      <c r="V37" s="3">
        <f t="shared" ref="V37:V39" si="59">(E37/4880)^2/16</f>
        <v>4.8114691111260412E-3</v>
      </c>
      <c r="W37" s="10">
        <f t="shared" si="43"/>
        <v>2.3423652479282599E-2</v>
      </c>
      <c r="X37" s="10">
        <f t="shared" ref="X37:X43" si="60">SQRT(R37^2+S37^2+T37^2+U37^2)</f>
        <v>0.66098672343867904</v>
      </c>
      <c r="Y37" s="42">
        <f t="shared" si="55"/>
        <v>3.7933383818597757</v>
      </c>
    </row>
    <row r="38" spans="1:25" s="5" customFormat="1" x14ac:dyDescent="0.3">
      <c r="A38" s="13" t="s">
        <v>30</v>
      </c>
      <c r="B38" s="57">
        <v>10885</v>
      </c>
      <c r="C38" s="13" t="s">
        <v>3</v>
      </c>
      <c r="D38" s="57">
        <v>9460</v>
      </c>
      <c r="E38" s="17">
        <f>B38-D38</f>
        <v>1425</v>
      </c>
      <c r="F38" s="10" cm="1">
        <f t="array" ref="F38">als(E38/1000)</f>
        <v>0.33648913818813608</v>
      </c>
      <c r="G38" s="7">
        <v>3</v>
      </c>
      <c r="H38" s="10"/>
      <c r="I38" s="10">
        <v>-0.489310314063434</v>
      </c>
      <c r="J38" s="10"/>
      <c r="K38" s="10">
        <v>-0.48105742628392401</v>
      </c>
      <c r="L38" s="11">
        <f t="shared" si="50"/>
        <v>0.24747996159654229</v>
      </c>
      <c r="M38" s="11">
        <f t="shared" si="51"/>
        <v>0.68550683245459176</v>
      </c>
      <c r="N38" s="3">
        <f t="shared" ref="N38" si="61">M38/(E38/1000)</f>
        <v>0.48105742628392401</v>
      </c>
      <c r="O38" s="10">
        <v>1.20873770697426</v>
      </c>
      <c r="P38" s="3" cm="1">
        <f t="array" ref="P38">(E38+2*D38-10537-VgB(O38)*1000)/4880</f>
        <v>8.9687630261212195E-2</v>
      </c>
      <c r="Q38" s="61">
        <f t="shared" si="52"/>
        <v>6.5260963346198348</v>
      </c>
      <c r="R38" s="58">
        <v>0</v>
      </c>
      <c r="S38" s="10" cm="1">
        <f t="array" ref="S38">das(E38/1000)/(F38)</f>
        <v>0.38618587106972396</v>
      </c>
      <c r="T38" s="3">
        <f t="shared" ref="T38" si="62">M38^2/24</f>
        <v>1.9579984055913654E-2</v>
      </c>
      <c r="U38" s="10">
        <f t="shared" si="41"/>
        <v>0.48816548841992818</v>
      </c>
      <c r="V38" s="3">
        <f t="shared" ref="V38" si="63">(E38/4880)^2/16</f>
        <v>5.3292991845270083E-3</v>
      </c>
      <c r="W38" s="10">
        <f t="shared" si="43"/>
        <v>1.8684922971085875E-2</v>
      </c>
      <c r="X38" s="10">
        <f t="shared" si="60"/>
        <v>0.62275873889796074</v>
      </c>
      <c r="Y38" s="61">
        <f t="shared" si="55"/>
        <v>4.0641835232744521</v>
      </c>
    </row>
    <row r="39" spans="1:25" x14ac:dyDescent="0.3">
      <c r="A39" s="13"/>
      <c r="B39" s="17"/>
      <c r="C39" s="13" t="s">
        <v>4</v>
      </c>
      <c r="D39" s="13">
        <v>10017</v>
      </c>
      <c r="E39" s="13">
        <f>B37-D39</f>
        <v>888</v>
      </c>
      <c r="F39" s="10" cm="1">
        <f t="array" ref="F39">als(E39/1000)</f>
        <v>0.43799488823701305</v>
      </c>
      <c r="G39" s="7">
        <v>3</v>
      </c>
      <c r="H39" s="10"/>
      <c r="I39" s="10">
        <v>-0.40752857680195298</v>
      </c>
      <c r="J39" s="10"/>
      <c r="K39" s="10">
        <v>-1.2320639186698801</v>
      </c>
      <c r="L39" s="11">
        <f t="shared" si="50"/>
        <v>0.12844341354401834</v>
      </c>
      <c r="M39" s="32">
        <f t="shared" si="51"/>
        <v>1.0940727597788535</v>
      </c>
      <c r="N39" s="3">
        <f t="shared" si="58"/>
        <v>1.2320639186698801</v>
      </c>
      <c r="O39" s="10">
        <v>2.4490469895425302</v>
      </c>
      <c r="P39" s="3" cm="1">
        <f t="array" ref="P39">(E39+2*D39-10537-VgB(O39)*1000)/4880</f>
        <v>0.1326746312071829</v>
      </c>
      <c r="Q39" s="12">
        <f t="shared" si="52"/>
        <v>1.4259134708620009</v>
      </c>
      <c r="R39" s="10">
        <f t="shared" si="53"/>
        <v>0.15766570121051399</v>
      </c>
      <c r="S39" s="10" cm="1">
        <f t="array" ref="S39">das(E39/1000)/(F39)</f>
        <v>0.65319149875524207</v>
      </c>
      <c r="T39" s="3">
        <f t="shared" si="54"/>
        <v>4.9874800153754874E-2</v>
      </c>
      <c r="U39" s="31">
        <f t="shared" si="41"/>
        <v>1.684273995782581</v>
      </c>
      <c r="V39" s="3">
        <f t="shared" si="59"/>
        <v>2.0695041655468963E-3</v>
      </c>
      <c r="W39" s="10">
        <f t="shared" si="43"/>
        <v>2.7640548168163106E-2</v>
      </c>
      <c r="X39" s="31">
        <f t="shared" si="60"/>
        <v>1.8140518173260987</v>
      </c>
      <c r="Y39" s="56">
        <f t="shared" si="55"/>
        <v>2.5866809231669778</v>
      </c>
    </row>
    <row r="40" spans="1:25" x14ac:dyDescent="0.3">
      <c r="A40" s="13" t="s">
        <v>53</v>
      </c>
      <c r="B40" s="13">
        <v>11103</v>
      </c>
      <c r="C40" s="13" t="s">
        <v>3</v>
      </c>
      <c r="D40" s="13">
        <v>9551</v>
      </c>
      <c r="E40" s="13">
        <f t="shared" si="57"/>
        <v>1552</v>
      </c>
      <c r="F40" s="10" cm="1">
        <f t="array" ref="F40">als(E40/1000)</f>
        <v>0.32334171665302869</v>
      </c>
      <c r="G40" s="7">
        <v>3</v>
      </c>
      <c r="H40" s="10"/>
      <c r="I40" s="10">
        <v>-0.175440601893016</v>
      </c>
      <c r="J40" s="10"/>
      <c r="K40" s="10">
        <v>-0.166719607297342</v>
      </c>
      <c r="L40" s="11">
        <f t="shared" si="50"/>
        <v>9.6641270525735484E-2</v>
      </c>
      <c r="M40" s="11">
        <f t="shared" si="51"/>
        <v>0.25874883052547482</v>
      </c>
      <c r="N40" s="3">
        <f t="shared" si="58"/>
        <v>0.166719607297342</v>
      </c>
      <c r="O40" s="10">
        <v>1.20873770697426</v>
      </c>
      <c r="P40" s="3" cm="1">
        <f t="array" ref="P40">(E40+2*D40-10537-VgB(O40)*1000)/4880</f>
        <v>0.15300730239235974</v>
      </c>
      <c r="Q40" s="42">
        <f t="shared" si="52"/>
        <v>1.0415166201612074</v>
      </c>
      <c r="R40" s="10">
        <f t="shared" si="53"/>
        <v>9.0210787806015741E-2</v>
      </c>
      <c r="S40" s="10" cm="1">
        <f t="array" ref="S40">das(E40/1000)/(F40)</f>
        <v>0.36234665842792868</v>
      </c>
      <c r="T40" s="3">
        <f t="shared" si="54"/>
        <v>2.7896232207625369E-3</v>
      </c>
      <c r="U40" s="10">
        <f t="shared" si="41"/>
        <v>0.44821895682886448</v>
      </c>
      <c r="V40" s="3">
        <f>(E40/4880)^2/16</f>
        <v>6.3215533458747643E-3</v>
      </c>
      <c r="W40" s="10">
        <f t="shared" si="43"/>
        <v>3.1876521331741611E-2</v>
      </c>
      <c r="X40" s="10">
        <f t="shared" si="60"/>
        <v>0.58338760902931197</v>
      </c>
      <c r="Y40" s="43">
        <f t="shared" si="55"/>
        <v>0.60760789080013689</v>
      </c>
    </row>
    <row r="41" spans="1:25" s="5" customFormat="1" x14ac:dyDescent="0.3">
      <c r="A41" s="13" t="s">
        <v>53</v>
      </c>
      <c r="B41" s="57">
        <v>11000</v>
      </c>
      <c r="C41" s="13" t="s">
        <v>3</v>
      </c>
      <c r="D41" s="57">
        <v>9460</v>
      </c>
      <c r="E41" s="17">
        <f>B41-D41</f>
        <v>1540</v>
      </c>
      <c r="F41" s="10" cm="1">
        <f t="array" ref="F41">als(E41/1000)</f>
        <v>0.32449091764425875</v>
      </c>
      <c r="G41" s="7">
        <v>3</v>
      </c>
      <c r="H41" s="10"/>
      <c r="I41" s="10">
        <v>-0.175440601893016</v>
      </c>
      <c r="J41" s="10"/>
      <c r="K41" s="10">
        <v>-0.166719607297342</v>
      </c>
      <c r="L41" s="11">
        <f t="shared" si="50"/>
        <v>9.589404420723753E-2</v>
      </c>
      <c r="M41" s="11">
        <f t="shared" si="51"/>
        <v>0.25674819523790671</v>
      </c>
      <c r="N41" s="3">
        <f t="shared" ref="N41" si="64">M41/(E41/1000)</f>
        <v>0.166719607297342</v>
      </c>
      <c r="O41" s="10">
        <v>1.20873770697426</v>
      </c>
      <c r="P41" s="3" cm="1">
        <f t="array" ref="P41">(E41+2*D41-10537-VgB(O41)*1000)/4880</f>
        <v>0.113253204031704</v>
      </c>
      <c r="Q41" s="61">
        <f t="shared" si="52"/>
        <v>1.0211605352679354</v>
      </c>
      <c r="R41" s="58">
        <v>0</v>
      </c>
      <c r="S41" s="10" cm="1">
        <f t="array" ref="S41">das(E41/1000)/(F41)</f>
        <v>0.3643653621727943</v>
      </c>
      <c r="T41" s="3">
        <f t="shared" ref="T41" si="65">M41^2/24</f>
        <v>2.7466514899134272E-3</v>
      </c>
      <c r="U41" s="10">
        <f t="shared" si="41"/>
        <v>0.45171157207688162</v>
      </c>
      <c r="V41" s="3">
        <f>(E41/4880)^2/16</f>
        <v>6.224175288900834E-3</v>
      </c>
      <c r="W41" s="10">
        <f t="shared" si="43"/>
        <v>2.3594417506605E-2</v>
      </c>
      <c r="X41" s="10">
        <f t="shared" si="60"/>
        <v>0.58035593009280639</v>
      </c>
      <c r="Y41" s="62">
        <f t="shared" si="55"/>
        <v>0.59263657221949062</v>
      </c>
    </row>
    <row r="42" spans="1:25" x14ac:dyDescent="0.3">
      <c r="A42" s="13"/>
      <c r="B42" s="17"/>
      <c r="C42" s="13" t="s">
        <v>4</v>
      </c>
      <c r="D42" s="13">
        <v>10017</v>
      </c>
      <c r="E42" s="13">
        <f>B37-D42</f>
        <v>888</v>
      </c>
      <c r="F42" s="10" cm="1">
        <f t="array" ref="F42">als(E42/1000)</f>
        <v>0.43799488823701305</v>
      </c>
      <c r="G42" s="7">
        <v>3</v>
      </c>
      <c r="H42" s="10"/>
      <c r="I42" s="10">
        <v>-2.2988825322351001E-2</v>
      </c>
      <c r="J42" s="10"/>
      <c r="K42" s="10">
        <v>0.27655997351998302</v>
      </c>
      <c r="L42" s="11">
        <f t="shared" si="50"/>
        <v>7.2455365484832904E-3</v>
      </c>
      <c r="M42" s="11">
        <f t="shared" si="51"/>
        <v>0.24558525648574492</v>
      </c>
      <c r="N42" s="3">
        <f t="shared" si="58"/>
        <v>0.27655997351998302</v>
      </c>
      <c r="O42" s="10">
        <v>2.4490469895425302</v>
      </c>
      <c r="P42" s="3" cm="1">
        <f t="array" ref="P42">(E42+2*D42-10537-VgB(O42)*1000)/4880</f>
        <v>0.1326746312071829</v>
      </c>
      <c r="Q42" s="15">
        <f t="shared" si="52"/>
        <v>4.5374368831859581E-3</v>
      </c>
      <c r="R42" s="10">
        <f t="shared" si="53"/>
        <v>0.15766570121051399</v>
      </c>
      <c r="S42" s="10" cm="1">
        <f t="array" ref="S42">das(E42/1000)/(F42)</f>
        <v>0.65319149875524207</v>
      </c>
      <c r="T42" s="3">
        <f t="shared" si="54"/>
        <v>2.5130049251320466E-3</v>
      </c>
      <c r="U42" s="31">
        <f t="shared" si="41"/>
        <v>1.684273995782581</v>
      </c>
      <c r="V42" s="3">
        <f t="shared" ref="V42:V43" si="66">(E42/4880)^2/16</f>
        <v>2.0695041655468963E-3</v>
      </c>
      <c r="W42" s="10">
        <f t="shared" si="43"/>
        <v>2.7640548168163106E-2</v>
      </c>
      <c r="X42" s="31">
        <f t="shared" si="60"/>
        <v>1.8133678103042135</v>
      </c>
      <c r="Y42" s="35">
        <f t="shared" si="55"/>
        <v>8.2280419852564964E-3</v>
      </c>
    </row>
    <row r="43" spans="1:25" x14ac:dyDescent="0.3">
      <c r="A43" s="13"/>
      <c r="B43" s="13"/>
      <c r="C43" s="13" t="s">
        <v>8</v>
      </c>
      <c r="D43" s="13">
        <v>10106</v>
      </c>
      <c r="E43" s="13">
        <f>B37-D43</f>
        <v>799</v>
      </c>
      <c r="F43" s="10" cm="1">
        <f t="array" ref="F43">als(E43/1000)</f>
        <v>0.4710362853024434</v>
      </c>
      <c r="G43" s="7">
        <v>3</v>
      </c>
      <c r="H43" s="10">
        <v>0.70171434925961096</v>
      </c>
      <c r="I43" s="10"/>
      <c r="J43" s="10">
        <v>1.78900280512335</v>
      </c>
      <c r="K43" s="10"/>
      <c r="L43" s="11">
        <f>SQRT(G43)*ABS(H43/4880)*E43</f>
        <v>0.19899764740756246</v>
      </c>
      <c r="M43" s="32">
        <f>ABS(J43/1000)*E43</f>
        <v>1.4294132412935567</v>
      </c>
      <c r="N43" s="3">
        <f t="shared" si="58"/>
        <v>1.78900280512335</v>
      </c>
      <c r="O43" s="10">
        <v>2.6197365527972898</v>
      </c>
      <c r="P43" s="3" cm="1">
        <f t="array" ref="P43">(E43+2*D43-10537-VgB(O43)*1000)/4880</f>
        <v>0.14208379229792173</v>
      </c>
      <c r="Q43" s="12">
        <f>(4/3)*F43*(1/3)*(1/2)*E43^3*G43*(H43/4880)^2</f>
        <v>3.3119556545791271</v>
      </c>
      <c r="R43" s="10">
        <f t="shared" si="53"/>
        <v>0.17522796329779278</v>
      </c>
      <c r="S43" s="10" cm="1">
        <f t="array" ref="S43">das(E43/1000)/(F43)</f>
        <v>0.72277328221582693</v>
      </c>
      <c r="T43" s="3">
        <f t="shared" si="54"/>
        <v>8.5134258932722987E-2</v>
      </c>
      <c r="U43" s="31">
        <f t="shared" si="41"/>
        <v>2.0096746890541324</v>
      </c>
      <c r="V43" s="3">
        <f t="shared" si="66"/>
        <v>1.6754594908962642E-3</v>
      </c>
      <c r="W43" s="10">
        <f t="shared" si="43"/>
        <v>2.9600790062067023E-2</v>
      </c>
      <c r="X43" s="31">
        <f t="shared" si="60"/>
        <v>2.1445620192653276</v>
      </c>
      <c r="Y43" s="36">
        <f t="shared" si="55"/>
        <v>7.1026943063014327</v>
      </c>
    </row>
    <row r="47" spans="1:25" x14ac:dyDescent="0.3">
      <c r="A47" t="s">
        <v>131</v>
      </c>
    </row>
    <row r="48" spans="1:25" x14ac:dyDescent="0.3">
      <c r="A48" t="s">
        <v>140</v>
      </c>
    </row>
  </sheetData>
  <pageMargins left="0.7" right="0.7" top="0.75" bottom="0.75" header="0.3" footer="0.3"/>
  <pageSetup scale="4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A7F73-93D5-4910-9C9E-91102D6D7C48}">
  <sheetPr codeName="Full13">
    <pageSetUpPr fitToPage="1"/>
  </sheetPr>
  <dimension ref="A1:Z48"/>
  <sheetViews>
    <sheetView topLeftCell="A13" zoomScale="60" zoomScaleNormal="60" workbookViewId="0">
      <selection activeCell="L50" sqref="L50"/>
    </sheetView>
  </sheetViews>
  <sheetFormatPr defaultRowHeight="14.4" x14ac:dyDescent="0.3"/>
  <cols>
    <col min="1" max="1" width="10.6640625" customWidth="1"/>
    <col min="2" max="2" width="7.6640625" customWidth="1"/>
    <col min="3" max="3" width="7.21875" bestFit="1" customWidth="1"/>
    <col min="4" max="4" width="9.33203125" customWidth="1"/>
    <col min="5" max="5" width="7.33203125" customWidth="1"/>
    <col min="6" max="6" width="7.77734375" bestFit="1" customWidth="1"/>
    <col min="7" max="7" width="4" bestFit="1" customWidth="1"/>
    <col min="8" max="8" width="8" bestFit="1" customWidth="1"/>
    <col min="9" max="9" width="7.6640625" bestFit="1" customWidth="1"/>
    <col min="10" max="10" width="10.44140625" bestFit="1" customWidth="1"/>
    <col min="11" max="11" width="9.21875" bestFit="1" customWidth="1"/>
    <col min="12" max="12" width="10.44140625" bestFit="1" customWidth="1"/>
    <col min="13" max="13" width="8.77734375" bestFit="1" customWidth="1"/>
    <col min="14" max="14" width="8" bestFit="1" customWidth="1"/>
    <col min="15" max="15" width="8.109375" bestFit="1" customWidth="1"/>
    <col min="16" max="16" width="8" bestFit="1" customWidth="1"/>
    <col min="17" max="17" width="8.109375" bestFit="1" customWidth="1"/>
    <col min="18" max="18" width="6.109375" bestFit="1" customWidth="1"/>
    <col min="19" max="19" width="6.5546875" bestFit="1" customWidth="1"/>
    <col min="20" max="20" width="6.109375" bestFit="1" customWidth="1"/>
    <col min="21" max="21" width="8.44140625" bestFit="1" customWidth="1"/>
    <col min="22" max="22" width="8.77734375" bestFit="1" customWidth="1"/>
    <col min="24" max="24" width="8.77734375" bestFit="1" customWidth="1"/>
  </cols>
  <sheetData>
    <row r="1" spans="1:26" x14ac:dyDescent="0.3">
      <c r="A1" t="s">
        <v>44</v>
      </c>
      <c r="E1" t="s">
        <v>50</v>
      </c>
    </row>
    <row r="2" spans="1:26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 t="s">
        <v>127</v>
      </c>
      <c r="K2" s="1" t="s">
        <v>127</v>
      </c>
      <c r="L2" s="1"/>
      <c r="M2" s="1"/>
      <c r="N2" s="1"/>
      <c r="O2" s="1"/>
    </row>
    <row r="3" spans="1:26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118</v>
      </c>
      <c r="I3" s="1" t="s">
        <v>117</v>
      </c>
      <c r="J3" s="1" t="s">
        <v>99</v>
      </c>
      <c r="K3" s="1" t="s">
        <v>93</v>
      </c>
      <c r="L3" s="34" t="s">
        <v>73</v>
      </c>
      <c r="M3" s="34" t="s">
        <v>74</v>
      </c>
      <c r="N3" s="34" t="s">
        <v>78</v>
      </c>
      <c r="O3" s="34" t="s">
        <v>38</v>
      </c>
      <c r="P3" s="20"/>
      <c r="Q3" s="20"/>
      <c r="R3" s="20"/>
      <c r="S3" s="20"/>
      <c r="T3" s="20"/>
      <c r="U3" s="20"/>
      <c r="V3" s="20"/>
      <c r="W3" s="20"/>
    </row>
    <row r="4" spans="1:26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34" t="s">
        <v>70</v>
      </c>
      <c r="M4" s="34" t="s">
        <v>70</v>
      </c>
      <c r="N4" s="34"/>
      <c r="O4" s="34" t="s">
        <v>34</v>
      </c>
      <c r="P4" s="34" t="s">
        <v>133</v>
      </c>
      <c r="Q4" s="34" t="s">
        <v>56</v>
      </c>
      <c r="R4" s="34" t="s">
        <v>57</v>
      </c>
      <c r="S4" s="34" t="s">
        <v>55</v>
      </c>
      <c r="T4" s="34" t="s">
        <v>68</v>
      </c>
      <c r="U4" s="34" t="s">
        <v>69</v>
      </c>
      <c r="V4" s="34" t="s">
        <v>58</v>
      </c>
      <c r="W4" s="34" t="s">
        <v>54</v>
      </c>
    </row>
    <row r="5" spans="1:26" x14ac:dyDescent="0.3">
      <c r="A5" s="13" t="s">
        <v>13</v>
      </c>
      <c r="B5" s="13">
        <v>4917</v>
      </c>
      <c r="C5" s="13" t="s">
        <v>20</v>
      </c>
      <c r="D5" s="13">
        <v>3457</v>
      </c>
      <c r="E5" s="13">
        <f>$B$5-D5</f>
        <v>1460</v>
      </c>
      <c r="F5" s="3" cm="1">
        <f t="array" ref="F5">als(E5/1000)</f>
        <v>0.33263549621265776</v>
      </c>
      <c r="G5" s="7">
        <v>1</v>
      </c>
      <c r="H5" s="3">
        <v>0.13544948023711201</v>
      </c>
      <c r="I5" s="3">
        <v>-0.56151007129175301</v>
      </c>
      <c r="J5" s="15">
        <f>SQRT(G5)*ABS(H5/1470)*E5</f>
        <v>0.13452805520148539</v>
      </c>
      <c r="K5" s="15">
        <f>ABS(I5/1000)*E5</f>
        <v>0.81980470408595929</v>
      </c>
      <c r="L5" s="3">
        <f t="shared" ref="L5:L7" si="0">K5/(E5/1000)</f>
        <v>0.5615100712917529</v>
      </c>
      <c r="M5" s="3">
        <v>3.1414552694423699</v>
      </c>
      <c r="N5" s="3" cm="1">
        <f t="array" ref="N5">(E5+2*D5-3712-VgC(M5)*1000)/1470</f>
        <v>1.0741393405999762</v>
      </c>
      <c r="O5" s="14">
        <f>(4/3)*F5*(1/3)*(1/2)*E5^3*G5*(H5/1470)^2</f>
        <v>1.953145788838474</v>
      </c>
      <c r="P5" s="10">
        <f>3*SQRT(2)*110/(E5)</f>
        <v>0.31965101067337087</v>
      </c>
      <c r="Q5" s="10" cm="1">
        <f t="array" ref="Q5">das(E5/1000)/(F5)</f>
        <v>0.37902427472826689</v>
      </c>
      <c r="R5" s="3">
        <f t="shared" ref="R5" si="1">K5^2/24</f>
        <v>2.8003323035061135E-2</v>
      </c>
      <c r="S5" s="31">
        <f>3*(0.215*M5-0.028)/(E5/1000)</f>
        <v>1.3303004443769373</v>
      </c>
      <c r="T5" s="3">
        <f t="shared" ref="T5:T7" si="2">(E5/1470)^2/16</f>
        <v>6.1652552177333515E-2</v>
      </c>
      <c r="U5" s="10">
        <f>5*N5/24</f>
        <v>0.22377902929166171</v>
      </c>
      <c r="V5" s="31">
        <f>SQRT(P5^2+Q5^2+R5^2+S5^2+T5^2+U5^2)</f>
        <v>1.4388181674586182</v>
      </c>
      <c r="W5" s="36">
        <f>V5*O5</f>
        <v>2.8102216446760906</v>
      </c>
    </row>
    <row r="6" spans="1:26" x14ac:dyDescent="0.3">
      <c r="A6" s="13" t="s">
        <v>14</v>
      </c>
      <c r="B6" s="13">
        <v>5315</v>
      </c>
      <c r="C6" s="13" t="s">
        <v>20</v>
      </c>
      <c r="D6" s="13">
        <v>3457</v>
      </c>
      <c r="E6" s="13">
        <f>$B$6-D6</f>
        <v>1858</v>
      </c>
      <c r="F6" s="3" cm="1">
        <f t="array" ref="F6">als(E6/1000)</f>
        <v>0.29895896361204283</v>
      </c>
      <c r="G6" s="7">
        <v>1</v>
      </c>
      <c r="H6" s="3">
        <v>4.9870161481481802E-2</v>
      </c>
      <c r="I6" s="3">
        <v>-0.20175783487798499</v>
      </c>
      <c r="J6" s="15">
        <f>SQRT(G6)*ABS(H6/1470)*E6</f>
        <v>6.3033170090199445E-2</v>
      </c>
      <c r="K6" s="15">
        <f>ABS(I6/1000)*E6</f>
        <v>0.37486605720329613</v>
      </c>
      <c r="L6" s="3">
        <f t="shared" si="0"/>
        <v>0.20175783487798499</v>
      </c>
      <c r="M6" s="3">
        <v>3.1414552694423699</v>
      </c>
      <c r="N6" s="3" cm="1">
        <f t="array" ref="N6">(E6+2*D6-3712-VgC(M6)*1000)/1470</f>
        <v>1.3448876399197041</v>
      </c>
      <c r="O6" s="14">
        <f>(4/3)*F6*(1/3)*(1/2)*E6^3*G6*(H6/1470)^2</f>
        <v>0.49043682696192065</v>
      </c>
      <c r="P6" s="10">
        <f>3*SQRT(2)*110/(E6)</f>
        <v>0.25117894272503843</v>
      </c>
      <c r="Q6" s="10" cm="1">
        <f t="array" ref="Q6">das(E6/1000)/(F6)</f>
        <v>0.32209627036953431</v>
      </c>
      <c r="R6" s="3">
        <f t="shared" ref="R6:R7" si="3">K6^2/24</f>
        <v>5.8551900351310367E-3</v>
      </c>
      <c r="S6" s="31">
        <f t="shared" ref="S6:S11" si="4">3*(0.215*M6-0.028)/(E6/1000)</f>
        <v>1.0453383470346223</v>
      </c>
      <c r="T6" s="3">
        <f t="shared" si="2"/>
        <v>9.9847401545652276E-2</v>
      </c>
      <c r="U6" s="10">
        <f t="shared" ref="U6:U11" si="5">5*N6/24</f>
        <v>0.28018492498327169</v>
      </c>
      <c r="V6" s="31">
        <f>SQRT(P6^2+Q6^2+R6^2+S6^2+T6^2+U6^2)</f>
        <v>1.16106696941613</v>
      </c>
      <c r="W6" s="56">
        <f>V6*O6</f>
        <v>0.5694300003707401</v>
      </c>
    </row>
    <row r="7" spans="1:26" x14ac:dyDescent="0.3">
      <c r="A7" s="13"/>
      <c r="B7" s="17"/>
      <c r="C7" s="13" t="s">
        <v>23</v>
      </c>
      <c r="D7" s="13">
        <v>3958</v>
      </c>
      <c r="E7" s="13">
        <f>$B$6-D7</f>
        <v>1357</v>
      </c>
      <c r="F7" s="3" cm="1">
        <f t="array" ref="F7">als(E7/1000)</f>
        <v>0.34455798277894345</v>
      </c>
      <c r="G7" s="7">
        <v>1</v>
      </c>
      <c r="H7" s="3">
        <v>0.113452331080361</v>
      </c>
      <c r="I7" s="3">
        <v>-0.90841064122489401</v>
      </c>
      <c r="J7" s="15">
        <f>SQRT(G7)*ABS(H7/1470)*E7</f>
        <v>0.10473116549391148</v>
      </c>
      <c r="K7" s="35">
        <f t="shared" ref="K7" si="6">ABS(I7/1000)*E7</f>
        <v>1.2327132401421812</v>
      </c>
      <c r="L7" s="3">
        <f t="shared" si="0"/>
        <v>0.90841064122489401</v>
      </c>
      <c r="M7" s="3">
        <v>4.6577871743427401</v>
      </c>
      <c r="N7" s="3" cm="1">
        <f t="array" ref="N7">(E7+2*D7-3712-VgC(M7)*1000)/1470</f>
        <v>1.4470084157307279</v>
      </c>
      <c r="O7" s="14">
        <f>(4/3)*F7*(1/3)*(1/2)*E7^3*G7*(H7/1470)^2</f>
        <v>1.1396763161860706</v>
      </c>
      <c r="P7" s="10">
        <f t="shared" ref="P7" si="7">3*SQRT(2)*110/(E7)</f>
        <v>0.34391339394482051</v>
      </c>
      <c r="Q7" s="10" cm="1">
        <f t="array" ref="Q7">das(E7/1000)/(F7)</f>
        <v>0.40168672602680805</v>
      </c>
      <c r="R7" s="3">
        <f t="shared" si="3"/>
        <v>6.3315913850909789E-2</v>
      </c>
      <c r="S7" s="31">
        <f t="shared" si="4"/>
        <v>2.152006431430411</v>
      </c>
      <c r="T7" s="3">
        <f t="shared" si="2"/>
        <v>5.3260475959091121E-2</v>
      </c>
      <c r="U7" s="10">
        <f t="shared" si="5"/>
        <v>0.30146008661056833</v>
      </c>
      <c r="V7" s="31">
        <f>SQRT(P7^2+Q7^2+R7^2+S7^2+T7^2+U7^2)</f>
        <v>2.2379642750464201</v>
      </c>
      <c r="W7" s="36">
        <f>V7*O7</f>
        <v>2.5505548807409339</v>
      </c>
    </row>
    <row r="8" spans="1:26" x14ac:dyDescent="0.3">
      <c r="A8" s="1" t="s">
        <v>0</v>
      </c>
      <c r="B8" s="1"/>
      <c r="C8" s="1" t="s">
        <v>15</v>
      </c>
      <c r="D8" s="1"/>
      <c r="E8" s="1" t="s">
        <v>1</v>
      </c>
      <c r="F8" s="1"/>
      <c r="G8" s="1"/>
      <c r="H8" s="1"/>
      <c r="I8" s="1"/>
      <c r="J8" s="1"/>
      <c r="K8" s="1"/>
      <c r="L8" s="1"/>
      <c r="M8" s="1"/>
      <c r="N8" s="1"/>
      <c r="O8" s="1"/>
      <c r="R8" s="3"/>
      <c r="S8" s="31"/>
      <c r="T8" s="3"/>
      <c r="U8" s="10"/>
    </row>
    <row r="9" spans="1:26" x14ac:dyDescent="0.3">
      <c r="A9" s="13" t="s">
        <v>13</v>
      </c>
      <c r="B9" s="13">
        <v>11261</v>
      </c>
      <c r="C9" s="13" t="s">
        <v>20</v>
      </c>
      <c r="D9" s="13">
        <v>9879</v>
      </c>
      <c r="E9" s="13">
        <f>$B$9-D9</f>
        <v>1382</v>
      </c>
      <c r="F9" s="3" cm="1">
        <f t="array" ref="F9">als(E9/1000)</f>
        <v>0.34149653574809941</v>
      </c>
      <c r="G9" s="7">
        <v>1</v>
      </c>
      <c r="H9" s="3">
        <v>0.24196970848509899</v>
      </c>
      <c r="I9" s="3">
        <v>-5.6100471981907901E-2</v>
      </c>
      <c r="J9" s="45">
        <f>SQRT(G9)*ABS(H9/4880)*E9</f>
        <v>6.8525028099673535E-2</v>
      </c>
      <c r="K9" s="45">
        <f>ABS(I9/1000)*E9</f>
        <v>7.7530852278996726E-2</v>
      </c>
      <c r="L9" s="3">
        <f t="shared" ref="L9:L11" si="8">K9/(E9/1000)</f>
        <v>5.6100471981907908E-2</v>
      </c>
      <c r="M9" s="3">
        <v>1.9846116902480599</v>
      </c>
      <c r="N9" s="3" cm="1">
        <f t="array" ref="N9">(E9+2*D9-10537-VgB(M9)*1000)/4880</f>
        <v>0.20250798038262466</v>
      </c>
      <c r="O9" s="43">
        <f>(4/3)*F9*(1/3)*(1/2)*E9^3*G9*(H9/4880)^2</f>
        <v>0.49247056327745947</v>
      </c>
      <c r="P9" s="10">
        <f>3*SQRT(2)*33/(E9)</f>
        <v>0.10130762856362983</v>
      </c>
      <c r="Q9" s="10" cm="1">
        <f t="array" ref="Q9">das(E9/1000)/(F9)</f>
        <v>0.39572218938894865</v>
      </c>
      <c r="R9" s="3">
        <f>K9^2/24</f>
        <v>2.5045971062948383E-4</v>
      </c>
      <c r="S9" s="37">
        <f t="shared" si="4"/>
        <v>0.86546638220694549</v>
      </c>
      <c r="T9" s="3">
        <f t="shared" ref="T9:T11" si="9">(E9/4880)^2/16</f>
        <v>5.0125239350980915E-3</v>
      </c>
      <c r="U9" s="10">
        <f t="shared" si="5"/>
        <v>4.2189162579713474E-2</v>
      </c>
      <c r="V9" s="10">
        <f>SQRT(P9^2+Q9^2+R9^2+S9^2+T9^2+U9^2)</f>
        <v>0.9579647483471363</v>
      </c>
      <c r="W9" s="43">
        <f>V9*O9</f>
        <v>0.47176943921846393</v>
      </c>
      <c r="Z9" t="s">
        <v>77</v>
      </c>
    </row>
    <row r="10" spans="1:26" x14ac:dyDescent="0.3">
      <c r="A10" s="13" t="s">
        <v>14</v>
      </c>
      <c r="B10" s="13">
        <v>11525</v>
      </c>
      <c r="C10" s="13" t="s">
        <v>20</v>
      </c>
      <c r="D10" s="13">
        <v>9879</v>
      </c>
      <c r="E10" s="13">
        <f>$B$10-D10</f>
        <v>1646</v>
      </c>
      <c r="F10" s="3" cm="1">
        <f t="array" ref="F10">als(E10/1000)</f>
        <v>0.31491350302157201</v>
      </c>
      <c r="G10" s="7">
        <v>1</v>
      </c>
      <c r="H10" s="3">
        <v>0.10991095601579499</v>
      </c>
      <c r="I10" s="3">
        <v>-0.112183617808116</v>
      </c>
      <c r="J10" s="45">
        <f>SQRT(G10)*ABS(H10/4880)*E10</f>
        <v>3.7072424918442329E-2</v>
      </c>
      <c r="K10" s="45">
        <f>ABS(I10/1000)*E10</f>
        <v>0.18465423491215893</v>
      </c>
      <c r="L10" s="3">
        <f t="shared" si="8"/>
        <v>0.112183617808116</v>
      </c>
      <c r="M10" s="3">
        <v>1.9846116902480599</v>
      </c>
      <c r="N10" s="3" cm="1">
        <f t="array" ref="N10">(E10+2*D10-10537-VgB(M10)*1000)/4880</f>
        <v>0.25660634103836238</v>
      </c>
      <c r="O10" s="43">
        <f>(4/3)*F10*(1/3)*(1/2)*E10^3*G10*(H10/4880)^2</f>
        <v>0.15831081643063549</v>
      </c>
      <c r="P10" s="10">
        <f t="shared" ref="P10:P11" si="10">3*SQRT(2)*33/(E10)</f>
        <v>8.5059017420982042E-2</v>
      </c>
      <c r="Q10" s="10" cm="1">
        <f t="array" ref="Q10">das(E10/1000)/(F10)</f>
        <v>0.34789387715056314</v>
      </c>
      <c r="R10" s="3">
        <f t="shared" ref="R10:R11" si="11">K10^2/24</f>
        <v>1.4207161029581156E-3</v>
      </c>
      <c r="S10" s="37">
        <f t="shared" si="4"/>
        <v>0.72665524921628111</v>
      </c>
      <c r="T10" s="3">
        <f t="shared" si="9"/>
        <v>7.1104982699543148E-3</v>
      </c>
      <c r="U10" s="10">
        <f t="shared" si="5"/>
        <v>5.3459654382992161E-2</v>
      </c>
      <c r="V10" s="10">
        <f>SQRT(P10^2+Q10^2+R10^2+S10^2+T10^2+U10^2)</f>
        <v>0.81191351120897781</v>
      </c>
      <c r="W10" s="43">
        <f>V10*O10</f>
        <v>0.12853469083055719</v>
      </c>
    </row>
    <row r="11" spans="1:26" x14ac:dyDescent="0.3">
      <c r="A11" s="13"/>
      <c r="B11" s="17"/>
      <c r="C11" s="13" t="s">
        <v>23</v>
      </c>
      <c r="D11" s="13">
        <v>10234</v>
      </c>
      <c r="E11" s="13">
        <f t="shared" ref="E11" si="12">$B$10-D11</f>
        <v>1291</v>
      </c>
      <c r="F11" s="3" cm="1">
        <f t="array" ref="F11">als(E11/1000)</f>
        <v>0.35323357837174441</v>
      </c>
      <c r="G11" s="7">
        <v>1</v>
      </c>
      <c r="H11" s="3">
        <v>0.295416670819377</v>
      </c>
      <c r="I11" s="3">
        <v>5.08308464560994E-2</v>
      </c>
      <c r="J11" s="15">
        <f>SQRT(G11)*ABS(H11/4880)*E11</f>
        <v>7.8152238120454035E-2</v>
      </c>
      <c r="K11" s="15">
        <f t="shared" ref="K11" si="13">ABS(I11/1000)*E11</f>
        <v>6.5622622774824321E-2</v>
      </c>
      <c r="L11" s="3">
        <f t="shared" si="8"/>
        <v>5.08308464560994E-2</v>
      </c>
      <c r="M11" s="3">
        <v>3.0300779091087202</v>
      </c>
      <c r="N11" s="3" cm="1">
        <f t="array" ref="N11">(E11+2*D11-10537-VgB(M11)*1000)/4880</f>
        <v>0.27474162576768396</v>
      </c>
      <c r="O11" s="14">
        <f>(4/3)*F11*(1/3)*(1/2)*E11^3*G11*(H11/4880)^2</f>
        <v>0.61895424960867573</v>
      </c>
      <c r="P11" s="10">
        <f t="shared" si="10"/>
        <v>0.10844860005804526</v>
      </c>
      <c r="Q11" s="10" cm="1">
        <f t="array" ref="Q11">das(E11/1000)/(F11)</f>
        <v>0.41917757898741642</v>
      </c>
      <c r="R11" s="3">
        <f t="shared" si="11"/>
        <v>1.7943035916028716E-4</v>
      </c>
      <c r="S11" s="31">
        <f t="shared" si="4"/>
        <v>1.4487995750388263</v>
      </c>
      <c r="T11" s="3">
        <f t="shared" si="9"/>
        <v>4.3741418007592044E-3</v>
      </c>
      <c r="U11" s="10">
        <f t="shared" si="5"/>
        <v>5.7237838701600825E-2</v>
      </c>
      <c r="V11" s="31">
        <f>SQRT(P11^2+Q11^2+R11^2+S11^2+T11^2+U11^2)</f>
        <v>1.5132040462885243</v>
      </c>
      <c r="W11" s="56">
        <f>V11*O11</f>
        <v>0.93660407497532538</v>
      </c>
    </row>
    <row r="12" spans="1:26" x14ac:dyDescent="0.3">
      <c r="R12" s="3"/>
      <c r="T12" s="3"/>
    </row>
    <row r="13" spans="1:26" x14ac:dyDescent="0.3">
      <c r="R13" s="3"/>
      <c r="T13" s="3"/>
    </row>
    <row r="14" spans="1:26" x14ac:dyDescent="0.3">
      <c r="A14" s="1" t="s">
        <v>0</v>
      </c>
      <c r="B14" s="1"/>
      <c r="C14" s="1" t="s">
        <v>12</v>
      </c>
      <c r="D14" s="1"/>
      <c r="E14" s="1" t="s">
        <v>1</v>
      </c>
      <c r="F14" s="1"/>
      <c r="G14" s="1"/>
      <c r="H14" s="1"/>
      <c r="I14" s="1"/>
      <c r="J14" s="1" t="s">
        <v>127</v>
      </c>
      <c r="K14" s="1" t="s">
        <v>127</v>
      </c>
      <c r="L14" s="1"/>
      <c r="M14" s="1"/>
      <c r="N14" s="1"/>
      <c r="O14" s="1"/>
      <c r="R14" s="3"/>
      <c r="T14" s="3"/>
    </row>
    <row r="15" spans="1:26" x14ac:dyDescent="0.3">
      <c r="A15" s="1" t="s">
        <v>31</v>
      </c>
      <c r="B15" s="1" t="s">
        <v>42</v>
      </c>
      <c r="C15" s="1" t="s">
        <v>32</v>
      </c>
      <c r="D15" s="1" t="s">
        <v>33</v>
      </c>
      <c r="E15" s="1" t="s">
        <v>35</v>
      </c>
      <c r="F15" s="1" t="s">
        <v>36</v>
      </c>
      <c r="G15" s="1" t="s">
        <v>49</v>
      </c>
      <c r="H15" s="1" t="s">
        <v>118</v>
      </c>
      <c r="I15" s="1" t="s">
        <v>117</v>
      </c>
      <c r="J15" s="1" t="s">
        <v>99</v>
      </c>
      <c r="K15" s="1" t="s">
        <v>109</v>
      </c>
      <c r="L15" s="34" t="s">
        <v>73</v>
      </c>
      <c r="M15" s="34" t="s">
        <v>74</v>
      </c>
      <c r="N15" s="34" t="s">
        <v>78</v>
      </c>
      <c r="O15" s="34" t="s">
        <v>38</v>
      </c>
      <c r="P15" s="20"/>
      <c r="Q15" s="20"/>
      <c r="R15" s="24"/>
      <c r="S15" s="20"/>
      <c r="T15" s="24"/>
      <c r="U15" s="20"/>
      <c r="V15" s="20"/>
      <c r="W15" s="20"/>
    </row>
    <row r="16" spans="1:26" x14ac:dyDescent="0.3">
      <c r="A16" s="1"/>
      <c r="B16" s="1" t="s">
        <v>34</v>
      </c>
      <c r="C16" s="1"/>
      <c r="D16" s="1" t="s">
        <v>34</v>
      </c>
      <c r="E16" s="1" t="s">
        <v>34</v>
      </c>
      <c r="F16" s="1"/>
      <c r="G16" s="1"/>
      <c r="H16" s="1" t="s">
        <v>37</v>
      </c>
      <c r="I16" s="1"/>
      <c r="J16" s="1"/>
      <c r="K16" s="1"/>
      <c r="L16" s="34" t="s">
        <v>70</v>
      </c>
      <c r="M16" s="34" t="s">
        <v>70</v>
      </c>
      <c r="N16" s="34"/>
      <c r="O16" s="34" t="s">
        <v>34</v>
      </c>
      <c r="P16" s="34" t="s">
        <v>133</v>
      </c>
      <c r="Q16" s="34" t="s">
        <v>56</v>
      </c>
      <c r="R16" s="51" t="s">
        <v>57</v>
      </c>
      <c r="S16" s="34" t="s">
        <v>55</v>
      </c>
      <c r="T16" s="51" t="s">
        <v>68</v>
      </c>
      <c r="U16" s="34" t="s">
        <v>69</v>
      </c>
      <c r="V16" s="34" t="s">
        <v>58</v>
      </c>
      <c r="W16" s="34" t="s">
        <v>54</v>
      </c>
    </row>
    <row r="17" spans="1:25" x14ac:dyDescent="0.3">
      <c r="A17" s="13" t="s">
        <v>16</v>
      </c>
      <c r="B17" s="13">
        <v>4171</v>
      </c>
      <c r="C17" s="13" t="s">
        <v>20</v>
      </c>
      <c r="D17" s="13">
        <v>3457</v>
      </c>
      <c r="E17" s="38">
        <f>B17-D17</f>
        <v>714</v>
      </c>
      <c r="F17" s="3" cm="1">
        <f t="array" ref="F17">als(E17/1000)</f>
        <v>0.51320717523938353</v>
      </c>
      <c r="G17" s="7">
        <v>1</v>
      </c>
      <c r="H17" s="3">
        <v>0.94401564960064999</v>
      </c>
      <c r="I17" s="3">
        <v>3.31811616632982</v>
      </c>
      <c r="J17" s="15">
        <f t="shared" ref="J17:J20" si="14">SQRT(G17)*ABS(H17/1470)*E17</f>
        <v>0.45852188694888713</v>
      </c>
      <c r="K17" s="35">
        <f>ABS(I17/1000)*E17</f>
        <v>2.3691349427594917</v>
      </c>
      <c r="L17" s="3">
        <f>K17/(E17/1000)</f>
        <v>3.3181161663298204</v>
      </c>
      <c r="M17" s="3">
        <v>3.1414552694423699</v>
      </c>
      <c r="N17" s="3" cm="1">
        <f t="array" ref="N17">(E17+2*D17-3712-VgC(M17)*1000)/1470</f>
        <v>0.56665634740269721</v>
      </c>
      <c r="O17" s="12">
        <f t="shared" ref="O17:O20" si="15">(4/3)*F17*(1/3)*(1/2)*E17^3*G17*(H17/1470)^2</f>
        <v>17.119794989244458</v>
      </c>
      <c r="P17" s="10">
        <f>3*SQRT(2)*110/(E17)</f>
        <v>0.65362811706319535</v>
      </c>
      <c r="Q17" s="10" cm="1">
        <f t="array" ref="Q17">das(E17/1000)/(F17)</f>
        <v>0.64676483151966113</v>
      </c>
      <c r="R17" s="3">
        <f>K17^2/24</f>
        <v>0.2338666823751675</v>
      </c>
      <c r="S17" s="31">
        <f t="shared" ref="S17:S25" si="16">3*(0.215*M17-0.028)/(E17/1000)</f>
        <v>2.720222197185334</v>
      </c>
      <c r="T17" s="3">
        <f>(E17/1470)^2/16</f>
        <v>1.4744897959183673E-2</v>
      </c>
      <c r="U17" s="10">
        <f>5*N17/24</f>
        <v>0.11805340570889526</v>
      </c>
      <c r="V17" s="31">
        <f>SQRT(P17^2+Q17^2+R17^2+S17^2+T17^2+U17^2)</f>
        <v>2.8833991934011673</v>
      </c>
      <c r="W17" s="36">
        <f>V17*O17</f>
        <v>49.363203063180812</v>
      </c>
    </row>
    <row r="18" spans="1:25" x14ac:dyDescent="0.3">
      <c r="A18" s="13" t="s">
        <v>17</v>
      </c>
      <c r="B18" s="13">
        <v>4556</v>
      </c>
      <c r="C18" s="13" t="s">
        <v>20</v>
      </c>
      <c r="D18" s="13">
        <v>3457</v>
      </c>
      <c r="E18" s="13">
        <f t="shared" ref="E18:E19" si="17">B18-D18</f>
        <v>1099</v>
      </c>
      <c r="F18" s="3" cm="1">
        <f t="array" ref="F18">als(E18/1000)</f>
        <v>0.38486099840001858</v>
      </c>
      <c r="G18" s="7">
        <v>1</v>
      </c>
      <c r="H18" s="3">
        <v>0.29051309365157102</v>
      </c>
      <c r="I18" s="3">
        <v>0.117715434780598</v>
      </c>
      <c r="J18" s="15">
        <f t="shared" si="14"/>
        <v>0.21719312239665073</v>
      </c>
      <c r="K18" s="15">
        <f>ABS(I18/1000)*E18</f>
        <v>0.1293692628238772</v>
      </c>
      <c r="L18" s="3">
        <f t="shared" ref="L18:L20" si="18">K18/(E18/1000)</f>
        <v>0.117715434780598</v>
      </c>
      <c r="M18" s="3">
        <v>3.1414552694423699</v>
      </c>
      <c r="N18" s="3" cm="1">
        <f t="array" ref="N18">(E18+2*D18-3712-VgC(M18)*1000)/1470</f>
        <v>0.82856110930745908</v>
      </c>
      <c r="O18" s="12">
        <f t="shared" si="15"/>
        <v>4.4338522655804606</v>
      </c>
      <c r="P18" s="10">
        <f>3*SQRT(2)*110/(E18)</f>
        <v>0.4246501142703562</v>
      </c>
      <c r="Q18" s="10" cm="1">
        <f t="array" ref="Q18">das(E18/1000)/(F18)</f>
        <v>0.49154863743062072</v>
      </c>
      <c r="R18" s="3">
        <f>K18^2/24</f>
        <v>6.9735025681639227E-4</v>
      </c>
      <c r="S18" s="31">
        <f t="shared" si="16"/>
        <v>1.7672781153688155</v>
      </c>
      <c r="T18" s="3">
        <f t="shared" ref="T18:T20" si="19">(E18/1470)^2/16</f>
        <v>3.4933390022675738E-2</v>
      </c>
      <c r="U18" s="10">
        <f t="shared" ref="U18:U25" si="20">5*N18/24</f>
        <v>0.17261689777238731</v>
      </c>
      <c r="V18" s="31">
        <f>SQRT(P18^2+Q18^2+R18^2+S18^2+T18^2+U18^2)</f>
        <v>1.8910941650281983</v>
      </c>
      <c r="W18" s="36">
        <f>V18*O18</f>
        <v>8.3848321480362671</v>
      </c>
    </row>
    <row r="19" spans="1:25" x14ac:dyDescent="0.3">
      <c r="A19" s="13" t="s">
        <v>18</v>
      </c>
      <c r="B19" s="13">
        <v>4912</v>
      </c>
      <c r="C19" s="13" t="s">
        <v>20</v>
      </c>
      <c r="D19" s="13">
        <v>3457</v>
      </c>
      <c r="E19" s="13">
        <f t="shared" si="17"/>
        <v>1455</v>
      </c>
      <c r="F19" s="3" cm="1">
        <f t="array" ref="F19">als(E19/1000)</f>
        <v>0.33317449313432662</v>
      </c>
      <c r="G19" s="7">
        <v>1</v>
      </c>
      <c r="H19" s="3">
        <v>0.12408486625901</v>
      </c>
      <c r="I19" s="3">
        <v>-0.12263426558543999</v>
      </c>
      <c r="J19" s="15">
        <f t="shared" si="14"/>
        <v>0.12281869415432622</v>
      </c>
      <c r="K19" s="15">
        <f>ABS(I19/1000)*E19</f>
        <v>0.1784328564268152</v>
      </c>
      <c r="L19" s="3">
        <f t="shared" si="18"/>
        <v>0.12263426558543999</v>
      </c>
      <c r="M19" s="3">
        <v>3.1414552694423699</v>
      </c>
      <c r="N19" s="3" cm="1">
        <f t="array" ref="N19">(E19+2*D19-3712-VgC(M19)*1000)/1470</f>
        <v>1.0707379800557584</v>
      </c>
      <c r="O19" s="14">
        <f t="shared" si="15"/>
        <v>1.6249918092959896</v>
      </c>
      <c r="P19" s="10">
        <f>3*SQRT(2)*110/(E19)</f>
        <v>0.32074946775472263</v>
      </c>
      <c r="Q19" s="10" cm="1">
        <f t="array" ref="Q19">das(E19/1000)/(F19)</f>
        <v>0.38001694423644761</v>
      </c>
      <c r="R19" s="3">
        <f>K19^2/24</f>
        <v>1.3265951771930186E-3</v>
      </c>
      <c r="S19" s="31">
        <f t="shared" si="16"/>
        <v>1.3348719235672359</v>
      </c>
      <c r="T19" s="3">
        <f t="shared" si="19"/>
        <v>6.1230997501041232E-2</v>
      </c>
      <c r="U19" s="10">
        <f t="shared" si="20"/>
        <v>0.22307041251161633</v>
      </c>
      <c r="V19" s="31">
        <f>SQRT(P19^2+Q19^2+R19^2+S19^2+T19^2+U19^2)</f>
        <v>1.4431519515101925</v>
      </c>
      <c r="W19" s="56">
        <f>V19*O19</f>
        <v>2.3451101007735859</v>
      </c>
    </row>
    <row r="20" spans="1:25" x14ac:dyDescent="0.3">
      <c r="A20" s="13"/>
      <c r="B20" s="17"/>
      <c r="C20" s="13" t="s">
        <v>23</v>
      </c>
      <c r="D20" s="13">
        <v>3958</v>
      </c>
      <c r="E20" s="13">
        <f>B19-D20</f>
        <v>954</v>
      </c>
      <c r="F20" s="3" cm="1">
        <f t="array" ref="F20">als(E20/1000)</f>
        <v>0.41837366965702139</v>
      </c>
      <c r="G20" s="7">
        <v>1</v>
      </c>
      <c r="H20" s="3">
        <v>0.32554347383062499</v>
      </c>
      <c r="I20" s="3">
        <v>0.314152332576002</v>
      </c>
      <c r="J20" s="15">
        <f t="shared" si="14"/>
        <v>0.21127107077171173</v>
      </c>
      <c r="K20" s="15">
        <f>ABS(I20/1000)*E20</f>
        <v>0.29970132527750593</v>
      </c>
      <c r="L20" s="3">
        <f t="shared" si="18"/>
        <v>0.31415233257600206</v>
      </c>
      <c r="M20" s="3">
        <v>4.6577871743427401</v>
      </c>
      <c r="N20" s="3" cm="1">
        <f t="array" ref="N20">(E20+2*D20-3712-VgC(M20)*1000)/1470</f>
        <v>1.1728587558667825</v>
      </c>
      <c r="O20" s="12">
        <f t="shared" si="15"/>
        <v>3.9589523278484009</v>
      </c>
      <c r="P20" s="10">
        <f>3*SQRT(2)*110/(E20)</f>
        <v>0.48919337063220275</v>
      </c>
      <c r="Q20" s="10" cm="1">
        <f t="array" ref="Q20">das(E20/1000)/(F20)</f>
        <v>0.58672932410137524</v>
      </c>
      <c r="R20" s="3">
        <f>K20^2/24</f>
        <v>3.742536848878892E-3</v>
      </c>
      <c r="S20" s="31">
        <f t="shared" si="16"/>
        <v>3.0610825235336141</v>
      </c>
      <c r="T20" s="3">
        <f t="shared" si="19"/>
        <v>2.6323406913785923E-2</v>
      </c>
      <c r="U20" s="10">
        <f t="shared" si="20"/>
        <v>0.244345574138913</v>
      </c>
      <c r="V20" s="31">
        <f>SQRT(P20^2+Q20^2+R20^2+S20^2+T20^2+U20^2)</f>
        <v>3.1645219792962034</v>
      </c>
      <c r="W20" s="36">
        <f>V20*O20</f>
        <v>12.528191656462134</v>
      </c>
    </row>
    <row r="21" spans="1:25" x14ac:dyDescent="0.3">
      <c r="A21" s="1" t="s">
        <v>0</v>
      </c>
      <c r="B21" s="1"/>
      <c r="C21" s="1" t="s">
        <v>15</v>
      </c>
      <c r="D21" s="1"/>
      <c r="E21" s="1" t="s">
        <v>1</v>
      </c>
      <c r="F21" s="1"/>
      <c r="G21" s="1"/>
      <c r="H21" s="1"/>
      <c r="I21" s="1"/>
      <c r="J21" s="1"/>
      <c r="K21" s="1"/>
      <c r="L21" s="1"/>
      <c r="M21" s="1"/>
      <c r="N21" s="1"/>
      <c r="O21" s="1"/>
      <c r="R21" s="3"/>
      <c r="S21" s="31"/>
      <c r="T21" s="3"/>
      <c r="U21" s="10"/>
    </row>
    <row r="22" spans="1:25" x14ac:dyDescent="0.3">
      <c r="A22" s="13" t="s">
        <v>16</v>
      </c>
      <c r="B22" s="13">
        <v>10772</v>
      </c>
      <c r="C22" s="13" t="s">
        <v>20</v>
      </c>
      <c r="D22" s="13">
        <v>9879</v>
      </c>
      <c r="E22" s="13">
        <f>B22-D22</f>
        <v>893</v>
      </c>
      <c r="F22" s="3" cm="1">
        <f t="array" ref="F22">als(E22/1000)</f>
        <v>0.43638353429254639</v>
      </c>
      <c r="G22" s="7">
        <v>1</v>
      </c>
      <c r="H22" s="3">
        <v>0.84717278201390001</v>
      </c>
      <c r="I22" s="3">
        <v>2.0292795616359598</v>
      </c>
      <c r="J22" s="15">
        <f t="shared" ref="J22:J25" si="21">SQRT(G22)*ABS(H22/4880)*E22</f>
        <v>0.15502567506934686</v>
      </c>
      <c r="K22" s="35">
        <f>ABS(I22/1000)*E22</f>
        <v>1.8121466485409119</v>
      </c>
      <c r="L22" s="3">
        <f>K22/(E22/1000)</f>
        <v>2.0292795616359594</v>
      </c>
      <c r="M22" s="3">
        <v>1.9846116902480599</v>
      </c>
      <c r="N22" s="3" cm="1">
        <f t="array" ref="N22">(E22+2*D22-10537-VgB(M22)*1000)/4880</f>
        <v>0.10230306234983778</v>
      </c>
      <c r="O22" s="14">
        <f t="shared" ref="O22:O25" si="22">(4/3)*F22*(1/3)*(1/2)*E22^3*G22*(H22/4880)^2</f>
        <v>2.0812035730460305</v>
      </c>
      <c r="P22" s="10">
        <f>3*SQRT(2)*33/(E22)</f>
        <v>0.15678291452960408</v>
      </c>
      <c r="Q22" s="10" cm="1">
        <f t="array" ref="Q22">das(E22/1000)/(F22)</f>
        <v>0.64740808068350209</v>
      </c>
      <c r="R22" s="3">
        <f>K22^2/24</f>
        <v>0.13682814482575248</v>
      </c>
      <c r="S22" s="31">
        <f t="shared" si="16"/>
        <v>1.3393891827659559</v>
      </c>
      <c r="T22" s="3">
        <f>(E22/4880)^2/16</f>
        <v>2.0928750041991399E-3</v>
      </c>
      <c r="U22" s="10">
        <f t="shared" si="20"/>
        <v>2.1313137989549539E-2</v>
      </c>
      <c r="V22" s="31">
        <f>SQRT(P22^2+Q22^2+R22^2+S22^2+T22^2+U22^2)</f>
        <v>1.5022856117683983</v>
      </c>
      <c r="W22" s="56">
        <f>V22*O22</f>
        <v>3.1265621829480321</v>
      </c>
    </row>
    <row r="23" spans="1:25" ht="13.2" customHeight="1" x14ac:dyDescent="0.3">
      <c r="A23" s="13" t="s">
        <v>17</v>
      </c>
      <c r="B23" s="13">
        <v>10995</v>
      </c>
      <c r="C23" s="13" t="s">
        <v>20</v>
      </c>
      <c r="D23" s="13">
        <v>9879</v>
      </c>
      <c r="E23" s="13">
        <f t="shared" ref="E23:E24" si="23">B23-D23</f>
        <v>1116</v>
      </c>
      <c r="F23" s="3" cm="1">
        <f t="array" ref="F23">als(E23/1000)</f>
        <v>0.38157787661505249</v>
      </c>
      <c r="G23" s="7">
        <v>1</v>
      </c>
      <c r="H23" s="3">
        <v>0.43750548612972801</v>
      </c>
      <c r="I23" s="3">
        <v>0.55250045209477205</v>
      </c>
      <c r="J23" s="15">
        <f t="shared" si="21"/>
        <v>0.10005248412310994</v>
      </c>
      <c r="K23" s="15">
        <f>ABS(I23/1000)*E23</f>
        <v>0.61659050453776554</v>
      </c>
      <c r="L23" s="3">
        <f t="shared" ref="L23:L25" si="24">K23/(E23/1000)</f>
        <v>0.55250045209477194</v>
      </c>
      <c r="M23" s="3">
        <v>1.9846116902480599</v>
      </c>
      <c r="N23" s="3" cm="1">
        <f t="array" ref="N23">(E23+2*D23-10537-VgB(M23)*1000)/4880</f>
        <v>0.14799978366131319</v>
      </c>
      <c r="O23" s="14">
        <f t="shared" si="22"/>
        <v>0.94730672297566765</v>
      </c>
      <c r="P23" s="10">
        <f>3*SQRT(2)*33/(E23)</f>
        <v>0.12545442892019393</v>
      </c>
      <c r="Q23" s="10" cm="1">
        <f t="array" ref="Q23">das(E23/1000)/(F23)</f>
        <v>0.48332723221513207</v>
      </c>
      <c r="R23" s="3">
        <f>K23^2/24</f>
        <v>1.5840993761922346E-2</v>
      </c>
      <c r="S23" s="31">
        <f t="shared" si="16"/>
        <v>1.0717513801164862</v>
      </c>
      <c r="T23" s="3">
        <f t="shared" ref="T23:T25" si="25">(E23/4880)^2/16</f>
        <v>3.2686525799516257E-3</v>
      </c>
      <c r="U23" s="10">
        <f t="shared" si="20"/>
        <v>3.0833288262773581E-2</v>
      </c>
      <c r="V23" s="31">
        <f>SQRT(P23^2+Q23^2+R23^2+S23^2+T23^2+U23^2)</f>
        <v>1.1828809579818984</v>
      </c>
      <c r="W23" s="56">
        <f>V23*O23</f>
        <v>1.1205510839761506</v>
      </c>
    </row>
    <row r="24" spans="1:25" x14ac:dyDescent="0.3">
      <c r="A24" s="13" t="s">
        <v>18</v>
      </c>
      <c r="B24" s="13">
        <v>11209</v>
      </c>
      <c r="C24" s="13" t="s">
        <v>20</v>
      </c>
      <c r="D24" s="13">
        <v>9879</v>
      </c>
      <c r="E24" s="13">
        <f t="shared" si="23"/>
        <v>1330</v>
      </c>
      <c r="F24" s="3" cm="1">
        <f t="array" ref="F24">als(E24/1000)</f>
        <v>0.34799842113136747</v>
      </c>
      <c r="G24" s="7">
        <v>1</v>
      </c>
      <c r="H24" s="3">
        <v>0.234857684181874</v>
      </c>
      <c r="I24" s="3">
        <v>0.126195222110114</v>
      </c>
      <c r="J24" s="45">
        <f t="shared" si="21"/>
        <v>6.4008344254486149E-2</v>
      </c>
      <c r="K24" s="45">
        <f>ABS(I24/1000)*E24</f>
        <v>0.16783964540645163</v>
      </c>
      <c r="L24" s="3">
        <f t="shared" si="24"/>
        <v>0.126195222110114</v>
      </c>
      <c r="M24" s="3">
        <v>1.9846116902480599</v>
      </c>
      <c r="N24" s="3" cm="1">
        <f t="array" ref="N24">(E24+2*D24-10537-VgB(M24)*1000)/4880</f>
        <v>0.19185224267770662</v>
      </c>
      <c r="O24" s="43">
        <f t="shared" si="22"/>
        <v>0.42139520262654678</v>
      </c>
      <c r="P24" s="10">
        <f>3*SQRT(2)*33/(E24)</f>
        <v>0.10526852832701987</v>
      </c>
      <c r="Q24" s="10" cm="1">
        <f t="array" ref="Q24">das(E24/1000)/(F24)</f>
        <v>0.40851641828573676</v>
      </c>
      <c r="R24" s="3">
        <f>K24^2/24</f>
        <v>1.1737561070901425E-3</v>
      </c>
      <c r="S24" s="37">
        <f t="shared" si="16"/>
        <v>0.89930416557142745</v>
      </c>
      <c r="T24" s="3">
        <f t="shared" si="25"/>
        <v>4.6424117340768609E-3</v>
      </c>
      <c r="U24" s="10">
        <f t="shared" si="20"/>
        <v>3.9969217224522215E-2</v>
      </c>
      <c r="V24" s="10">
        <f>SQRT(P24^2+Q24^2+R24^2+S24^2+T24^2+U24^2)</f>
        <v>0.99415068138331708</v>
      </c>
      <c r="W24" s="43">
        <f>V24*O24</f>
        <v>0.41893032782284245</v>
      </c>
    </row>
    <row r="25" spans="1:25" x14ac:dyDescent="0.3">
      <c r="A25" s="13"/>
      <c r="B25" s="17"/>
      <c r="C25" s="13" t="s">
        <v>23</v>
      </c>
      <c r="D25" s="13">
        <v>10234</v>
      </c>
      <c r="E25" s="13">
        <f>B24-D25</f>
        <v>975</v>
      </c>
      <c r="F25" s="3" cm="1">
        <f t="array" ref="F25">als(E25/1000)</f>
        <v>0.41279711872026648</v>
      </c>
      <c r="G25" s="7">
        <v>1</v>
      </c>
      <c r="H25" s="3">
        <v>0.44077144471732699</v>
      </c>
      <c r="I25" s="3">
        <v>0.83847373639290201</v>
      </c>
      <c r="J25" s="15">
        <f t="shared" si="21"/>
        <v>8.8063966926105283E-2</v>
      </c>
      <c r="K25" s="15">
        <f>ABS(I25/1000)*E25</f>
        <v>0.81751189298307947</v>
      </c>
      <c r="L25" s="3">
        <f t="shared" si="24"/>
        <v>0.83847373639290201</v>
      </c>
      <c r="M25" s="3">
        <v>3.0300779091087202</v>
      </c>
      <c r="N25" s="3" cm="1">
        <f t="array" ref="N25">(E25+2*D25-10537-VgB(M25)*1000)/4880</f>
        <v>0.20998752740702822</v>
      </c>
      <c r="O25" s="14">
        <f t="shared" si="22"/>
        <v>0.69362581606296614</v>
      </c>
      <c r="P25" s="10">
        <f>3*SQRT(2)*33/(E25)</f>
        <v>0.14359706941019121</v>
      </c>
      <c r="Q25" s="10" cm="1">
        <f t="array" ref="Q25">das(E25/1000)/(F25)</f>
        <v>0.56936225787838635</v>
      </c>
      <c r="R25" s="3">
        <f>K25^2/24</f>
        <v>2.7846903965365748E-2</v>
      </c>
      <c r="S25" s="31">
        <f t="shared" si="16"/>
        <v>1.918359232179615</v>
      </c>
      <c r="T25" s="3">
        <f t="shared" si="25"/>
        <v>2.4948796736428383E-3</v>
      </c>
      <c r="U25" s="10">
        <f t="shared" si="20"/>
        <v>4.3747401543130886E-2</v>
      </c>
      <c r="V25" s="31">
        <f>SQRT(P25^2+Q25^2+R25^2+S25^2+T25^2+U25^2)</f>
        <v>2.0068859340667942</v>
      </c>
      <c r="W25" s="56">
        <f>V25*O25</f>
        <v>1.3920278937623682</v>
      </c>
    </row>
    <row r="28" spans="1:25" x14ac:dyDescent="0.3">
      <c r="A28" s="1" t="s">
        <v>0</v>
      </c>
      <c r="B28" s="1"/>
      <c r="C28" s="1" t="s">
        <v>12</v>
      </c>
      <c r="D28" s="1"/>
      <c r="E28" s="1" t="s">
        <v>1</v>
      </c>
      <c r="F28" s="1"/>
      <c r="G28" s="1"/>
      <c r="H28" s="1"/>
      <c r="I28" s="1"/>
      <c r="J28" s="1"/>
      <c r="K28" s="1"/>
      <c r="L28" s="1" t="s">
        <v>127</v>
      </c>
      <c r="M28" s="1" t="s">
        <v>127</v>
      </c>
      <c r="N28" s="1"/>
      <c r="O28" s="1"/>
      <c r="P28" s="1"/>
      <c r="Q28" s="1"/>
    </row>
    <row r="29" spans="1:25" x14ac:dyDescent="0.3">
      <c r="A29" s="1" t="s">
        <v>31</v>
      </c>
      <c r="B29" s="1" t="s">
        <v>42</v>
      </c>
      <c r="C29" s="1" t="s">
        <v>32</v>
      </c>
      <c r="D29" s="1" t="s">
        <v>33</v>
      </c>
      <c r="E29" s="1" t="s">
        <v>35</v>
      </c>
      <c r="F29" s="1" t="s">
        <v>39</v>
      </c>
      <c r="G29" s="1" t="s">
        <v>52</v>
      </c>
      <c r="H29" s="1" t="s">
        <v>119</v>
      </c>
      <c r="I29" s="1" t="s">
        <v>120</v>
      </c>
      <c r="J29" s="1" t="s">
        <v>121</v>
      </c>
      <c r="K29" s="1" t="s">
        <v>122</v>
      </c>
      <c r="L29" s="1" t="s">
        <v>99</v>
      </c>
      <c r="M29" s="1" t="s">
        <v>109</v>
      </c>
      <c r="N29" s="34" t="s">
        <v>73</v>
      </c>
      <c r="O29" s="34" t="s">
        <v>74</v>
      </c>
      <c r="P29" s="34" t="s">
        <v>78</v>
      </c>
      <c r="Q29" s="34" t="s">
        <v>38</v>
      </c>
      <c r="R29" s="20"/>
      <c r="S29" s="20"/>
      <c r="T29" s="20"/>
      <c r="U29" s="20"/>
      <c r="V29" s="20"/>
      <c r="W29" s="20"/>
      <c r="X29" s="20"/>
    </row>
    <row r="30" spans="1:25" x14ac:dyDescent="0.3">
      <c r="A30" s="1"/>
      <c r="B30" s="1" t="s">
        <v>34</v>
      </c>
      <c r="C30" s="1"/>
      <c r="D30" s="1" t="s">
        <v>34</v>
      </c>
      <c r="E30" s="1" t="s">
        <v>34</v>
      </c>
      <c r="F30" s="1"/>
      <c r="G30" s="1"/>
      <c r="H30" s="1" t="s">
        <v>37</v>
      </c>
      <c r="I30" s="1" t="s">
        <v>37</v>
      </c>
      <c r="J30" s="1"/>
      <c r="K30" s="1"/>
      <c r="L30" s="1"/>
      <c r="M30" s="1"/>
      <c r="N30" s="34" t="s">
        <v>70</v>
      </c>
      <c r="O30" s="34" t="s">
        <v>70</v>
      </c>
      <c r="P30" s="34"/>
      <c r="Q30" s="34" t="s">
        <v>34</v>
      </c>
      <c r="R30" s="34" t="s">
        <v>133</v>
      </c>
      <c r="S30" s="34" t="s">
        <v>56</v>
      </c>
      <c r="T30" s="34" t="s">
        <v>57</v>
      </c>
      <c r="U30" s="34" t="s">
        <v>55</v>
      </c>
      <c r="V30" s="34" t="s">
        <v>68</v>
      </c>
      <c r="W30" s="34" t="s">
        <v>69</v>
      </c>
      <c r="X30" s="34" t="s">
        <v>58</v>
      </c>
      <c r="Y30" s="1" t="s">
        <v>54</v>
      </c>
    </row>
    <row r="31" spans="1:25" x14ac:dyDescent="0.3">
      <c r="A31" s="13" t="s">
        <v>30</v>
      </c>
      <c r="B31" s="13">
        <v>4394</v>
      </c>
      <c r="C31" s="13" t="s">
        <v>3</v>
      </c>
      <c r="D31" s="13">
        <v>3068</v>
      </c>
      <c r="E31" s="13">
        <f>B31-D31</f>
        <v>1326</v>
      </c>
      <c r="F31" s="10" cm="1">
        <f t="array" ref="F31">als(E31/1000)</f>
        <v>0.34852052664805511</v>
      </c>
      <c r="G31" s="7">
        <v>1</v>
      </c>
      <c r="H31" s="10"/>
      <c r="I31" s="10">
        <v>-0.36099782459252899</v>
      </c>
      <c r="J31" s="10"/>
      <c r="K31" s="10">
        <v>-0.245959982062324</v>
      </c>
      <c r="L31" s="41">
        <f t="shared" ref="L31:L35" si="26">ABS(SQRT(G31)*I31/1470)*E31</f>
        <v>0.32563477238754651</v>
      </c>
      <c r="M31" s="41">
        <f t="shared" ref="M31:M35" si="27">ABS(K31/1000)*E31</f>
        <v>0.32614293621464163</v>
      </c>
      <c r="N31" s="3">
        <f t="shared" ref="N31:N35" si="28">M31/(E31/1000)</f>
        <v>0.245959982062324</v>
      </c>
      <c r="O31" s="10">
        <v>2.0555394826094102</v>
      </c>
      <c r="P31" s="3" cm="1">
        <f t="array" ref="P31">(E31+2*D31-3712-VgC(O31)*1000)/1470</f>
        <v>0.64001134758884759</v>
      </c>
      <c r="Q31" s="42">
        <f t="shared" ref="Q31:Q35" si="29">(4/3)*F31*(1/3)*(1/2)*E31^3*G31*(I31/1470)^2</f>
        <v>10.889825489096673</v>
      </c>
      <c r="R31" s="10">
        <f>3*SQRT(2)*110/(E31)</f>
        <v>0.3519536014955667</v>
      </c>
      <c r="S31" s="10" cm="1">
        <f t="array" ref="S31">das(E31/1000)/(F31)</f>
        <v>0.40956489280601449</v>
      </c>
      <c r="T31" s="3">
        <f t="shared" ref="T31:T35" si="30">M31^2/24</f>
        <v>4.4320506184461579E-3</v>
      </c>
      <c r="U31" s="10">
        <f>3*(0.215*O31-0.028)/(E31/1000)</f>
        <v>0.93651807411996191</v>
      </c>
      <c r="V31" s="3">
        <f t="shared" ref="V31:V35" si="31">(E31/1470)^2/16</f>
        <v>5.0854852144939615E-2</v>
      </c>
      <c r="W31" s="10">
        <f>5*P31/24</f>
        <v>0.13333569741434326</v>
      </c>
      <c r="X31" s="31">
        <f t="shared" ref="X31:X35" si="32">SQRT(R31^2+S31^2+T31^2+U31^2)</f>
        <v>1.081064514842176</v>
      </c>
      <c r="Y31" s="42">
        <f t="shared" ref="Y31:Y35" si="33">X31*Q31</f>
        <v>11.772603909086257</v>
      </c>
    </row>
    <row r="32" spans="1:25" x14ac:dyDescent="0.3">
      <c r="A32" s="13" t="s">
        <v>30</v>
      </c>
      <c r="B32" s="57">
        <v>4351</v>
      </c>
      <c r="C32" s="13" t="s">
        <v>3</v>
      </c>
      <c r="D32" s="57">
        <v>2984</v>
      </c>
      <c r="E32" s="17">
        <f>B32-D32</f>
        <v>1367</v>
      </c>
      <c r="F32" s="10" cm="1">
        <f t="array" ref="F32">als(E32/1000)</f>
        <v>0.34331951879876127</v>
      </c>
      <c r="G32" s="7">
        <v>1</v>
      </c>
      <c r="H32" s="10"/>
      <c r="I32" s="10">
        <v>-0.36099782459252899</v>
      </c>
      <c r="J32" s="10"/>
      <c r="K32" s="10">
        <v>-0.245959982062324</v>
      </c>
      <c r="L32" s="11">
        <f t="shared" si="26"/>
        <v>0.33570341919590957</v>
      </c>
      <c r="M32" s="11">
        <f t="shared" si="27"/>
        <v>0.33622729547919694</v>
      </c>
      <c r="N32" s="3">
        <f t="shared" ref="N32" si="34">M32/(E32/1000)</f>
        <v>0.24595998206232403</v>
      </c>
      <c r="O32" s="10">
        <v>2.0555394826094102</v>
      </c>
      <c r="P32" s="3" cm="1">
        <f t="array" ref="P32">(E32+2*D32-3712-VgC(O32)*1000)/1470</f>
        <v>0.55361678976571838</v>
      </c>
      <c r="Q32" s="61">
        <f t="shared" si="29"/>
        <v>11.753467890378161</v>
      </c>
      <c r="R32" s="58">
        <v>0</v>
      </c>
      <c r="S32" s="10" cm="1">
        <f t="array" ref="S32">das(E32/1000)/(F32)</f>
        <v>0.39926128373191888</v>
      </c>
      <c r="T32" s="3">
        <f t="shared" si="30"/>
        <v>4.7103664260523008E-3</v>
      </c>
      <c r="U32" s="10">
        <f t="shared" ref="U32:U42" si="35">3*(0.215*O32-0.028)/(E32/1000)</f>
        <v>0.90842938279668584</v>
      </c>
      <c r="V32" s="3">
        <f t="shared" ref="V32" si="36">(E32/1470)^2/16</f>
        <v>5.4048342125966035E-2</v>
      </c>
      <c r="W32" s="10">
        <f t="shared" ref="W32:W42" si="37">5*P32/24</f>
        <v>0.11533683120119133</v>
      </c>
      <c r="X32" s="10">
        <f t="shared" si="32"/>
        <v>0.99230827053264814</v>
      </c>
      <c r="Y32" s="61">
        <f t="shared" si="33"/>
        <v>11.663063395062165</v>
      </c>
    </row>
    <row r="33" spans="1:25" x14ac:dyDescent="0.3">
      <c r="A33" s="13" t="s">
        <v>53</v>
      </c>
      <c r="B33" s="13">
        <v>4678</v>
      </c>
      <c r="C33" s="13" t="s">
        <v>3</v>
      </c>
      <c r="D33" s="13">
        <v>3068</v>
      </c>
      <c r="E33" s="13">
        <f t="shared" ref="E33" si="38">B33-D33</f>
        <v>1610</v>
      </c>
      <c r="F33" s="10" cm="1">
        <f t="array" ref="F33">als(E33/1000)</f>
        <v>0.31802674514116458</v>
      </c>
      <c r="G33" s="7">
        <v>1</v>
      </c>
      <c r="H33" s="10"/>
      <c r="I33" s="10">
        <v>-2.8812877642666601E-2</v>
      </c>
      <c r="J33" s="10"/>
      <c r="K33" s="10">
        <v>-0.35414233675566298</v>
      </c>
      <c r="L33" s="11">
        <f t="shared" si="26"/>
        <v>3.1556961227682465E-2</v>
      </c>
      <c r="M33" s="11">
        <f t="shared" si="27"/>
        <v>0.57016916217661739</v>
      </c>
      <c r="N33" s="3">
        <f t="shared" si="28"/>
        <v>0.35414233675566298</v>
      </c>
      <c r="O33" s="10">
        <v>2.0555394826094102</v>
      </c>
      <c r="P33" s="3" cm="1">
        <f t="array" ref="P33">(E33+2*D33-3712-VgC(O33)*1000)/1470</f>
        <v>0.83320862650041227</v>
      </c>
      <c r="Q33" s="41">
        <f t="shared" si="29"/>
        <v>0.1133097703058671</v>
      </c>
      <c r="R33" s="10">
        <f>3*SQRT(2)*110/(E33)</f>
        <v>0.28986986061063441</v>
      </c>
      <c r="S33" s="10" cm="1">
        <f t="array" ref="S33">das(E33/1000)/(F33)</f>
        <v>0.35316188646350255</v>
      </c>
      <c r="T33" s="3">
        <f t="shared" si="30"/>
        <v>1.3545536395716077E-2</v>
      </c>
      <c r="U33" s="10">
        <f t="shared" si="35"/>
        <v>0.7713186125981798</v>
      </c>
      <c r="V33" s="3">
        <f t="shared" si="31"/>
        <v>7.4971655328798195E-2</v>
      </c>
      <c r="W33" s="10">
        <f t="shared" si="37"/>
        <v>0.1735851305209192</v>
      </c>
      <c r="X33" s="10">
        <f t="shared" si="32"/>
        <v>0.89658448449519645</v>
      </c>
      <c r="Y33" s="41">
        <f t="shared" si="33"/>
        <v>0.10159178199795497</v>
      </c>
    </row>
    <row r="34" spans="1:25" s="5" customFormat="1" x14ac:dyDescent="0.3">
      <c r="A34" s="13" t="s">
        <v>53</v>
      </c>
      <c r="B34" s="57">
        <v>4626</v>
      </c>
      <c r="C34" s="13" t="s">
        <v>3</v>
      </c>
      <c r="D34" s="57">
        <v>2984</v>
      </c>
      <c r="E34" s="17">
        <f>B34-D34</f>
        <v>1642</v>
      </c>
      <c r="F34" s="10" cm="1">
        <f t="array" ref="F34">als(E34/1000)</f>
        <v>0.31525281027092561</v>
      </c>
      <c r="G34" s="7">
        <v>1</v>
      </c>
      <c r="H34" s="10"/>
      <c r="I34" s="10">
        <v>-2.8812877642666601E-2</v>
      </c>
      <c r="J34" s="10"/>
      <c r="K34" s="10">
        <v>-0.35414233675566298</v>
      </c>
      <c r="L34" s="11">
        <f t="shared" si="26"/>
        <v>3.2184180332828952E-2</v>
      </c>
      <c r="M34" s="11">
        <f t="shared" si="27"/>
        <v>0.58150171695279862</v>
      </c>
      <c r="N34" s="3">
        <f t="shared" ref="N34" si="39">M34/(E34/1000)</f>
        <v>0.35414233675566298</v>
      </c>
      <c r="O34" s="10">
        <v>2.0555394826094102</v>
      </c>
      <c r="P34" s="3" cm="1">
        <f t="array" ref="P34">(E34+2*D34-3712-VgC(O34)*1000)/1470</f>
        <v>0.74069161969769115</v>
      </c>
      <c r="Q34" s="60">
        <f t="shared" si="29"/>
        <v>0.11915287114224497</v>
      </c>
      <c r="R34" s="58">
        <v>0</v>
      </c>
      <c r="S34" s="10" cm="1">
        <f t="array" ref="S34">das(E34/1000)/(F34)</f>
        <v>0.34846412300011542</v>
      </c>
      <c r="T34" s="3">
        <f t="shared" si="30"/>
        <v>1.408934361746053E-2</v>
      </c>
      <c r="U34" s="10">
        <f t="shared" si="35"/>
        <v>0.75628682477653453</v>
      </c>
      <c r="V34" s="3">
        <f t="shared" ref="V34" si="40">(E34/1470)^2/16</f>
        <v>7.7981512332824285E-2</v>
      </c>
      <c r="W34" s="10">
        <f t="shared" si="37"/>
        <v>0.15431075410368567</v>
      </c>
      <c r="X34" s="10">
        <f t="shared" si="32"/>
        <v>0.8328238204760855</v>
      </c>
      <c r="Y34" s="60">
        <f t="shared" si="33"/>
        <v>9.923334936537917E-2</v>
      </c>
    </row>
    <row r="35" spans="1:25" x14ac:dyDescent="0.3">
      <c r="A35" s="13"/>
      <c r="B35" s="17"/>
      <c r="C35" s="13" t="s">
        <v>4</v>
      </c>
      <c r="D35" s="13">
        <v>3674</v>
      </c>
      <c r="E35" s="13">
        <f>B33-D35</f>
        <v>1004</v>
      </c>
      <c r="F35" s="10" cm="1">
        <f t="array" ref="F35">als(E35/1000)</f>
        <v>0.40554700804682658</v>
      </c>
      <c r="G35" s="7">
        <v>1</v>
      </c>
      <c r="H35" s="10"/>
      <c r="I35" s="10">
        <v>0.40384504746446298</v>
      </c>
      <c r="J35" s="10"/>
      <c r="K35" s="10">
        <v>1.8910206420795299</v>
      </c>
      <c r="L35" s="11">
        <f t="shared" si="26"/>
        <v>0.27582342017300737</v>
      </c>
      <c r="M35" s="32">
        <f t="shared" si="27"/>
        <v>1.898584724647848</v>
      </c>
      <c r="N35" s="3">
        <f t="shared" si="28"/>
        <v>1.8910206420795299</v>
      </c>
      <c r="O35" s="10">
        <v>3.83841691381935</v>
      </c>
      <c r="P35" s="3" cm="1">
        <f t="array" ref="P35">(E35+2*D35-3712-VgC(O35)*1000)/1470</f>
        <v>0.94780009560024348</v>
      </c>
      <c r="Q35" s="12">
        <f t="shared" si="29"/>
        <v>6.8837435009078067</v>
      </c>
      <c r="R35" s="10">
        <f>3*SQRT(2)*110/(E35)</f>
        <v>0.46483115097920463</v>
      </c>
      <c r="S35" s="10" cm="1">
        <f t="array" ref="S35">das(E35/1000)/(F35)</f>
        <v>0.54773610961071928</v>
      </c>
      <c r="T35" s="3">
        <f t="shared" si="30"/>
        <v>0.15019266486108937</v>
      </c>
      <c r="U35" s="31">
        <f t="shared" si="35"/>
        <v>2.3822499097743832</v>
      </c>
      <c r="V35" s="3">
        <f t="shared" si="31"/>
        <v>2.9154981720579391E-2</v>
      </c>
      <c r="W35" s="10">
        <f t="shared" si="37"/>
        <v>0.19745835325005071</v>
      </c>
      <c r="X35" s="31">
        <f t="shared" si="32"/>
        <v>2.4927405227761414</v>
      </c>
      <c r="Y35" s="36">
        <f t="shared" si="33"/>
        <v>17.159386373109793</v>
      </c>
    </row>
    <row r="36" spans="1:25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T36" s="3"/>
      <c r="U36" s="10"/>
      <c r="V36" s="3"/>
      <c r="W36" s="10"/>
    </row>
    <row r="37" spans="1:25" x14ac:dyDescent="0.3">
      <c r="A37" s="13" t="s">
        <v>19</v>
      </c>
      <c r="B37" s="13">
        <v>10704</v>
      </c>
      <c r="C37" s="13" t="s">
        <v>3</v>
      </c>
      <c r="D37" s="13">
        <v>9551</v>
      </c>
      <c r="E37" s="13">
        <f>B37-D37</f>
        <v>1153</v>
      </c>
      <c r="F37" s="24" cm="1">
        <f t="array" ref="F37">als(E37/1000)</f>
        <v>0.37480290298963193</v>
      </c>
      <c r="G37" s="39">
        <v>1</v>
      </c>
      <c r="H37" s="24"/>
      <c r="I37" s="24">
        <v>-0.77441107009168597</v>
      </c>
      <c r="J37" s="24"/>
      <c r="K37" s="24">
        <v>-1.2383353208880601</v>
      </c>
      <c r="L37" s="15">
        <f>ABS(SQRT(G37)*I37/4880)*E37</f>
        <v>0.18297048438846597</v>
      </c>
      <c r="M37" s="35">
        <f>ABS(K37/1000)*E37</f>
        <v>1.4278006249839335</v>
      </c>
      <c r="N37" s="3">
        <f>M37/(E37/1000)</f>
        <v>1.2383353208880603</v>
      </c>
      <c r="O37" s="10">
        <v>1.20873770697426</v>
      </c>
      <c r="P37" s="3" cm="1">
        <f t="array" ref="P37">(E37+2*D37-10537-VgB(O37)*1000)/4880</f>
        <v>7.124500731039253E-2</v>
      </c>
      <c r="Q37" s="43">
        <f>(4/3)*F37*(1/3)*(1/2)*E37^3*G37*((I37/4880)^2)</f>
        <v>3.2150062027202493</v>
      </c>
      <c r="R37" s="10">
        <f t="shared" ref="R37:R42" si="41">3*SQRT(2)*33/(E37)</f>
        <v>0.12142857127054331</v>
      </c>
      <c r="S37" s="10" cm="1">
        <f t="array" ref="S37">das(E37/1000)/(F37)</f>
        <v>0.46691568505069853</v>
      </c>
      <c r="T37" s="3">
        <f t="shared" ref="T37:T42" si="42">M37^2/24</f>
        <v>8.4942276029354627E-2</v>
      </c>
      <c r="U37" s="10">
        <f t="shared" si="35"/>
        <v>0.60332681786504572</v>
      </c>
      <c r="V37" s="3">
        <f>(E37/4880)^2/16</f>
        <v>3.488984081060199E-3</v>
      </c>
      <c r="W37" s="10">
        <f t="shared" si="37"/>
        <v>1.4842709856331777E-2</v>
      </c>
      <c r="X37" s="10">
        <f t="shared" ref="X37:X42" si="43">SQRT(R37^2+S37^2+T37^2+U37^2+V37^2+W37^2)</f>
        <v>0.77730693636759396</v>
      </c>
      <c r="Y37" s="43">
        <f t="shared" ref="Y37:Y42" si="44">X37*Q37</f>
        <v>2.4990466218392888</v>
      </c>
    </row>
    <row r="38" spans="1:25" x14ac:dyDescent="0.3">
      <c r="A38" s="13" t="s">
        <v>30</v>
      </c>
      <c r="B38" s="13">
        <v>10905</v>
      </c>
      <c r="C38" s="13" t="s">
        <v>3</v>
      </c>
      <c r="D38" s="13">
        <v>9551</v>
      </c>
      <c r="E38" s="13">
        <f t="shared" ref="E38:E40" si="45">B38-D38</f>
        <v>1354</v>
      </c>
      <c r="F38" s="24" cm="1">
        <f t="array" ref="F38">als(E38/1000)</f>
        <v>0.34493321671947547</v>
      </c>
      <c r="G38" s="39">
        <v>1</v>
      </c>
      <c r="H38" s="24"/>
      <c r="I38" s="24">
        <v>-0.489310314063434</v>
      </c>
      <c r="J38" s="24"/>
      <c r="K38" s="24">
        <v>-0.48105742628392401</v>
      </c>
      <c r="L38" s="15">
        <f>ABS(SQRT(G38)*I38/4880)*E38</f>
        <v>0.13576355845120691</v>
      </c>
      <c r="M38" s="15">
        <f>ABS(K38/1000)*E38</f>
        <v>0.65135175518843313</v>
      </c>
      <c r="N38" s="3">
        <f t="shared" ref="N38:N42" si="46">M38/(E38/1000)</f>
        <v>0.48105742628392401</v>
      </c>
      <c r="O38" s="10">
        <v>1.20873770697426</v>
      </c>
      <c r="P38" s="3" cm="1">
        <f t="array" ref="P38">(E38+2*D38-10537-VgB(O38)*1000)/4880</f>
        <v>0.11243353190055647</v>
      </c>
      <c r="Q38" s="42">
        <f>(4/3)*F38*(1/3)*(1/2)*E38^3*G38*((I38/4880)^2)</f>
        <v>1.9129675112209676</v>
      </c>
      <c r="R38" s="10">
        <f t="shared" si="41"/>
        <v>0.10340261645120859</v>
      </c>
      <c r="S38" s="10" cm="1">
        <f t="array" ref="S38">das(E38/1000)/(F38)</f>
        <v>0.40242501037518047</v>
      </c>
      <c r="T38" s="3">
        <f t="shared" si="42"/>
        <v>1.7677462874460523E-2</v>
      </c>
      <c r="U38" s="10">
        <f t="shared" si="35"/>
        <v>0.51376353101801897</v>
      </c>
      <c r="V38" s="3">
        <f t="shared" ref="V38:V42" si="47">(E38/4880)^2/16</f>
        <v>4.8114691111260412E-3</v>
      </c>
      <c r="W38" s="10">
        <f t="shared" si="37"/>
        <v>2.3423652479282599E-2</v>
      </c>
      <c r="X38" s="10">
        <f t="shared" si="43"/>
        <v>0.66141913057657942</v>
      </c>
      <c r="Y38" s="42">
        <f t="shared" si="44"/>
        <v>1.2652733080930154</v>
      </c>
    </row>
    <row r="39" spans="1:25" x14ac:dyDescent="0.3">
      <c r="A39" s="13"/>
      <c r="B39" s="17"/>
      <c r="C39" s="13" t="s">
        <v>4</v>
      </c>
      <c r="D39" s="13">
        <v>10017</v>
      </c>
      <c r="E39" s="13">
        <f>B38-D39</f>
        <v>888</v>
      </c>
      <c r="F39" s="24" cm="1">
        <f t="array" ref="F39">als(E39/1000)</f>
        <v>0.43799488823701305</v>
      </c>
      <c r="G39" s="39">
        <v>1</v>
      </c>
      <c r="H39" s="24"/>
      <c r="I39" s="24">
        <v>-0.40752857680195298</v>
      </c>
      <c r="J39" s="24"/>
      <c r="K39" s="24">
        <v>-1.2320639186698801</v>
      </c>
      <c r="L39" s="15">
        <f>ABS(SQRT(G39)*I39/4880)*E39</f>
        <v>7.4156839385273413E-2</v>
      </c>
      <c r="M39" s="35">
        <f>ABS(K39/1000)*E39</f>
        <v>1.0940727597788535</v>
      </c>
      <c r="N39" s="3">
        <f t="shared" si="46"/>
        <v>1.2320639186698801</v>
      </c>
      <c r="O39" s="10">
        <v>2.4490469895425302</v>
      </c>
      <c r="P39" s="3" cm="1">
        <f t="array" ref="P39">(E39+2*D39-10537-VgB(O39)*1000)/4880</f>
        <v>0.1326746312071829</v>
      </c>
      <c r="Q39" s="14">
        <f>(4/3)*F39*(1/3)*(1/2)*E39^3*G39*((I39/4880)^2)</f>
        <v>0.47530449028733363</v>
      </c>
      <c r="R39" s="10">
        <f t="shared" si="41"/>
        <v>0.15766570121051399</v>
      </c>
      <c r="S39" s="10" cm="1">
        <f t="array" ref="S39">das(E39/1000)/(F39)</f>
        <v>0.65319149875524207</v>
      </c>
      <c r="T39" s="3">
        <f t="shared" si="42"/>
        <v>4.9874800153754874E-2</v>
      </c>
      <c r="U39" s="31">
        <f t="shared" si="35"/>
        <v>1.684273995782581</v>
      </c>
      <c r="V39" s="3">
        <f t="shared" si="47"/>
        <v>2.0695041655468963E-3</v>
      </c>
      <c r="W39" s="10">
        <f t="shared" si="37"/>
        <v>2.7640548168163106E-2</v>
      </c>
      <c r="X39" s="31">
        <f t="shared" si="43"/>
        <v>1.8142635637345113</v>
      </c>
      <c r="Y39" s="56">
        <f t="shared" si="44"/>
        <v>0.86232761840771333</v>
      </c>
    </row>
    <row r="40" spans="1:25" x14ac:dyDescent="0.3">
      <c r="A40" s="13" t="s">
        <v>53</v>
      </c>
      <c r="B40" s="13">
        <v>11103</v>
      </c>
      <c r="C40" s="13" t="s">
        <v>3</v>
      </c>
      <c r="D40" s="13">
        <v>9551</v>
      </c>
      <c r="E40" s="13">
        <f t="shared" si="45"/>
        <v>1552</v>
      </c>
      <c r="F40" s="24" cm="1">
        <f t="array" ref="F40">als(E40/1000)</f>
        <v>0.32334171665302869</v>
      </c>
      <c r="G40" s="39">
        <v>1</v>
      </c>
      <c r="H40" s="24"/>
      <c r="I40" s="24">
        <v>-0.175440601893016</v>
      </c>
      <c r="J40" s="24"/>
      <c r="K40" s="24">
        <v>-0.166719607297342</v>
      </c>
      <c r="L40" s="15">
        <f>ABS(SQRT(G40)*I40/4880)*E40</f>
        <v>5.5795863552860828E-2</v>
      </c>
      <c r="M40" s="15">
        <f>ABS(K40/1000)*E40</f>
        <v>0.25874883052547482</v>
      </c>
      <c r="N40" s="3">
        <f t="shared" si="46"/>
        <v>0.166719607297342</v>
      </c>
      <c r="O40" s="10">
        <v>1.20873770697426</v>
      </c>
      <c r="P40" s="3" cm="1">
        <f t="array" ref="P40">(E40+2*D40-10537-VgB(O40)*1000)/4880</f>
        <v>0.15300730239235974</v>
      </c>
      <c r="Q40" s="43">
        <f>(4/3)*F40*(1/3)*(1/2)*E40^3*G40*((I40/4880)^2)</f>
        <v>0.3471722067204025</v>
      </c>
      <c r="R40" s="10">
        <f t="shared" si="41"/>
        <v>9.0210787806015741E-2</v>
      </c>
      <c r="S40" s="10" cm="1">
        <f t="array" ref="S40">das(E40/1000)/(F40)</f>
        <v>0.36234665842792868</v>
      </c>
      <c r="T40" s="3">
        <f t="shared" si="42"/>
        <v>2.7896232207625369E-3</v>
      </c>
      <c r="U40" s="10">
        <f t="shared" si="35"/>
        <v>0.44821895682886448</v>
      </c>
      <c r="V40" s="3">
        <f t="shared" si="47"/>
        <v>6.3215533458747643E-3</v>
      </c>
      <c r="W40" s="10">
        <f t="shared" si="37"/>
        <v>3.1876521331741611E-2</v>
      </c>
      <c r="X40" s="10">
        <f t="shared" si="43"/>
        <v>0.58429203059587853</v>
      </c>
      <c r="Y40" s="43">
        <f t="shared" si="44"/>
        <v>0.20284995363111608</v>
      </c>
    </row>
    <row r="41" spans="1:25" x14ac:dyDescent="0.3">
      <c r="A41" s="13"/>
      <c r="B41" s="17"/>
      <c r="C41" s="13" t="s">
        <v>4</v>
      </c>
      <c r="D41" s="13">
        <v>10017</v>
      </c>
      <c r="E41" s="13">
        <f>B40-D41</f>
        <v>1086</v>
      </c>
      <c r="F41" s="24" cm="1">
        <f t="array" ref="F41">als(E41/1000)</f>
        <v>0.38744941376341707</v>
      </c>
      <c r="G41" s="39">
        <v>1</v>
      </c>
      <c r="H41" s="24"/>
      <c r="I41" s="24">
        <v>-2.2988825322351001E-2</v>
      </c>
      <c r="J41" s="24"/>
      <c r="K41" s="24">
        <v>0.27655997351998302</v>
      </c>
      <c r="L41" s="15">
        <f>ABS(SQRT(G41)*I41/4880)*E41</f>
        <v>5.1159557991953247E-3</v>
      </c>
      <c r="M41" s="15">
        <f>ABS(K41/1000)*E41</f>
        <v>0.30034413124270154</v>
      </c>
      <c r="N41" s="3">
        <f t="shared" si="46"/>
        <v>0.27655997351998296</v>
      </c>
      <c r="O41" s="10">
        <v>2.4490469895425302</v>
      </c>
      <c r="P41" s="3" cm="1">
        <f t="array" ref="P41">(E41+2*D41-10537-VgB(O41)*1000)/4880</f>
        <v>0.17324840169898617</v>
      </c>
      <c r="Q41" s="14">
        <f>(4/3)*F41*(1/3)*(1/2)*E41^3*G41*((I41/4880)^2)</f>
        <v>2.4472925425282036E-3</v>
      </c>
      <c r="R41" s="10">
        <f t="shared" si="41"/>
        <v>0.12892002087931531</v>
      </c>
      <c r="S41" s="10" cm="1">
        <f t="array" ref="S41">das(E41/1000)/(F41)</f>
        <v>0.49815849988910227</v>
      </c>
      <c r="T41" s="3">
        <f t="shared" si="42"/>
        <v>3.7586082154972139E-3</v>
      </c>
      <c r="U41" s="31">
        <f t="shared" si="35"/>
        <v>1.3771964164410053</v>
      </c>
      <c r="V41" s="3">
        <f t="shared" si="47"/>
        <v>3.0952805865358778E-3</v>
      </c>
      <c r="W41" s="10">
        <f t="shared" si="37"/>
        <v>3.6093417020622118E-2</v>
      </c>
      <c r="X41" s="31">
        <f t="shared" si="43"/>
        <v>1.4706388662425194</v>
      </c>
      <c r="Y41" s="56">
        <f t="shared" si="44"/>
        <v>3.59908353010745E-3</v>
      </c>
    </row>
    <row r="42" spans="1:25" x14ac:dyDescent="0.3">
      <c r="A42" s="13"/>
      <c r="B42" s="13"/>
      <c r="C42" s="13" t="s">
        <v>8</v>
      </c>
      <c r="D42" s="13">
        <v>10106</v>
      </c>
      <c r="E42" s="13">
        <f>B40-D42</f>
        <v>997</v>
      </c>
      <c r="F42" s="24" cm="1">
        <f t="array" ref="F42">als(E42/1000)</f>
        <v>0.40725178444685156</v>
      </c>
      <c r="G42" s="39">
        <v>1</v>
      </c>
      <c r="H42" s="24">
        <v>0.70171434925961096</v>
      </c>
      <c r="I42" s="24"/>
      <c r="J42" s="24">
        <v>1.78900280512335</v>
      </c>
      <c r="K42" s="24"/>
      <c r="L42" s="15">
        <f>ABS(SQRT(G42)*H42/4880)*E42</f>
        <v>0.14336254225652298</v>
      </c>
      <c r="M42" s="35">
        <f>ABS(J42/1000)*E42</f>
        <v>1.7836357967079799</v>
      </c>
      <c r="N42" s="3">
        <f t="shared" si="46"/>
        <v>1.78900280512335</v>
      </c>
      <c r="O42" s="10">
        <v>2.6197365527972898</v>
      </c>
      <c r="P42" s="3" cm="1">
        <f t="array" ref="P42">(E42+2*D42-10537-VgB(O42)*1000)/4880</f>
        <v>0.182657562789725</v>
      </c>
      <c r="Q42" s="14">
        <f>(4/3)*F42*(1/3)*(1/2)*E42^3*G42*((H42/4880)^2)</f>
        <v>1.8544581116764831</v>
      </c>
      <c r="R42" s="10">
        <f t="shared" si="41"/>
        <v>0.14042842795881286</v>
      </c>
      <c r="S42" s="10" cm="1">
        <f t="array" ref="S42">das(E42/1000)/(F42)</f>
        <v>0.55272646139631199</v>
      </c>
      <c r="T42" s="3">
        <f t="shared" si="42"/>
        <v>0.13255652730408793</v>
      </c>
      <c r="U42" s="31">
        <f t="shared" si="35"/>
        <v>1.610561761839771</v>
      </c>
      <c r="V42" s="3">
        <f t="shared" si="47"/>
        <v>2.6087393551800595E-3</v>
      </c>
      <c r="W42" s="10">
        <f t="shared" si="37"/>
        <v>3.8053658914526042E-2</v>
      </c>
      <c r="X42" s="31">
        <f t="shared" si="43"/>
        <v>1.7141067623155288</v>
      </c>
      <c r="Y42" s="56">
        <f t="shared" si="44"/>
        <v>3.1787391896555457</v>
      </c>
    </row>
    <row r="47" spans="1:25" x14ac:dyDescent="0.3">
      <c r="A47" t="s">
        <v>129</v>
      </c>
    </row>
    <row r="48" spans="1:25" x14ac:dyDescent="0.3">
      <c r="A48" t="s">
        <v>141</v>
      </c>
    </row>
  </sheetData>
  <pageMargins left="0.7" right="0.7" top="0.75" bottom="0.75" header="0.3" footer="0.3"/>
  <pageSetup scale="4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ull1">
    <pageSetUpPr fitToPage="1"/>
  </sheetPr>
  <dimension ref="A1:O67"/>
  <sheetViews>
    <sheetView topLeftCell="A7" workbookViewId="0">
      <selection activeCell="Q21" sqref="Q21"/>
    </sheetView>
  </sheetViews>
  <sheetFormatPr defaultRowHeight="14.4" x14ac:dyDescent="0.3"/>
  <cols>
    <col min="1" max="1" width="9.109375" customWidth="1"/>
    <col min="2" max="2" width="6.21875" customWidth="1"/>
    <col min="3" max="3" width="5.109375" customWidth="1"/>
    <col min="4" max="5" width="6" bestFit="1" customWidth="1"/>
    <col min="6" max="6" width="7.77734375" bestFit="1" customWidth="1"/>
    <col min="7" max="7" width="5.77734375" bestFit="1" customWidth="1"/>
    <col min="8" max="8" width="5.6640625" customWidth="1"/>
    <col min="9" max="9" width="9.44140625" bestFit="1" customWidth="1"/>
    <col min="10" max="10" width="10" bestFit="1" customWidth="1"/>
    <col min="11" max="12" width="7.109375" bestFit="1" customWidth="1"/>
    <col min="13" max="13" width="8.44140625" bestFit="1" customWidth="1"/>
    <col min="14" max="14" width="7.6640625" customWidth="1"/>
  </cols>
  <sheetData>
    <row r="1" spans="1:15" x14ac:dyDescent="0.3">
      <c r="A1" t="s">
        <v>43</v>
      </c>
      <c r="G1" s="40" t="s">
        <v>104</v>
      </c>
      <c r="H1" s="5"/>
      <c r="I1" s="5" t="s">
        <v>102</v>
      </c>
      <c r="J1" s="5"/>
      <c r="K1" s="6" t="s">
        <v>101</v>
      </c>
      <c r="L1" s="5" t="s">
        <v>103</v>
      </c>
      <c r="M1" s="6"/>
      <c r="N1" s="6"/>
    </row>
    <row r="2" spans="1:15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</row>
    <row r="3" spans="1:15" x14ac:dyDescent="0.3">
      <c r="A3" s="1" t="s">
        <v>31</v>
      </c>
      <c r="B3" s="1" t="s">
        <v>72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46</v>
      </c>
      <c r="H3" s="1" t="s">
        <v>7</v>
      </c>
      <c r="I3" s="1" t="s">
        <v>67</v>
      </c>
      <c r="J3" s="1" t="s">
        <v>93</v>
      </c>
      <c r="K3" s="27" t="s">
        <v>73</v>
      </c>
      <c r="L3" s="27" t="s">
        <v>74</v>
      </c>
      <c r="M3" s="27" t="s">
        <v>96</v>
      </c>
      <c r="N3" s="1" t="s">
        <v>38</v>
      </c>
    </row>
    <row r="4" spans="1:15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27" t="s">
        <v>95</v>
      </c>
      <c r="L4" s="27" t="s">
        <v>95</v>
      </c>
      <c r="M4" s="27"/>
      <c r="N4" s="1" t="s">
        <v>34</v>
      </c>
    </row>
    <row r="5" spans="1:15" x14ac:dyDescent="0.3">
      <c r="A5" t="s">
        <v>2</v>
      </c>
      <c r="B5">
        <v>4455</v>
      </c>
      <c r="C5" t="s">
        <v>3</v>
      </c>
      <c r="D5">
        <v>3068</v>
      </c>
      <c r="E5">
        <f>$B$5-D5</f>
        <v>1387</v>
      </c>
      <c r="F5" s="10" cm="1">
        <f t="array" ref="F5">als(E5/1000)</f>
        <v>0.3408979055565598</v>
      </c>
      <c r="G5" s="10">
        <v>0.33333333333333331</v>
      </c>
      <c r="H5" s="10">
        <v>2.1962719517678799</v>
      </c>
      <c r="I5" s="10">
        <f>E5/1470</f>
        <v>0.94353741496598642</v>
      </c>
      <c r="J5" s="31">
        <f>SQRT(G5)*ABS(H5/1000)*E5</f>
        <v>1.7587412469601658</v>
      </c>
      <c r="K5" s="10">
        <f>SQRT(G5)*ABS(H5)</f>
        <v>1.2680182025668101</v>
      </c>
      <c r="L5" s="10">
        <v>2.0555394826094102</v>
      </c>
      <c r="M5" s="10" cm="1">
        <f t="array" ref="M5">(E5+2*D5-3712-VgC(L5)*1000)/1470</f>
        <v>0.68150794622830335</v>
      </c>
      <c r="N5" s="9">
        <f t="shared" ref="N5:N28" si="0">(4/3)*F5*(1/3)*(1/2)*E5^3*G5*(H5/1000)^2</f>
        <v>325.00659842812149</v>
      </c>
    </row>
    <row r="6" spans="1:15" x14ac:dyDescent="0.3">
      <c r="B6" s="2"/>
      <c r="C6" t="s">
        <v>4</v>
      </c>
      <c r="D6">
        <v>3674</v>
      </c>
      <c r="E6" s="33">
        <f t="shared" ref="E6:E10" si="1">$B$5-D6</f>
        <v>781</v>
      </c>
      <c r="F6" s="10" cm="1">
        <f t="array" ref="F6">als(E6/1000)</f>
        <v>0.47892883610876574</v>
      </c>
      <c r="G6" s="10">
        <v>0.33333333333333331</v>
      </c>
      <c r="H6" s="10">
        <v>-2.9146878926311</v>
      </c>
      <c r="I6" s="10">
        <f t="shared" ref="I6:I28" si="2">E6/1470</f>
        <v>0.53129251700680269</v>
      </c>
      <c r="J6" s="10">
        <f t="shared" ref="J6:J28" si="3">SQRT(G6)*ABS(H6/1000)*E6</f>
        <v>1.314263550582575</v>
      </c>
      <c r="K6" s="10">
        <f>SQRT(G6)*ABS(H6)</f>
        <v>1.6827958394143085</v>
      </c>
      <c r="L6" s="10">
        <v>3.83841691381935</v>
      </c>
      <c r="M6" s="10" cm="1">
        <f t="array" ref="M6">(E6+2*D6-3712-VgC(L6)*1000)/1470</f>
        <v>0.79609941532813466</v>
      </c>
      <c r="N6" s="9">
        <f t="shared" si="0"/>
        <v>143.57354823761202</v>
      </c>
    </row>
    <row r="7" spans="1:15" x14ac:dyDescent="0.3">
      <c r="C7" t="s">
        <v>5</v>
      </c>
      <c r="D7">
        <v>4149</v>
      </c>
      <c r="E7" s="33">
        <f t="shared" si="1"/>
        <v>306</v>
      </c>
      <c r="F7" s="10" cm="1">
        <f t="array" ref="F7">als(E7/1000)</f>
        <v>1</v>
      </c>
      <c r="G7" s="10">
        <v>0.33333333333333331</v>
      </c>
      <c r="H7" s="10">
        <v>0.50835561685439501</v>
      </c>
      <c r="I7" s="10">
        <f t="shared" si="2"/>
        <v>0.20816326530612245</v>
      </c>
      <c r="J7" s="10">
        <f t="shared" si="3"/>
        <v>8.9810771183892607E-2</v>
      </c>
      <c r="K7" s="10">
        <f t="shared" ref="K7:K28" si="4">SQRT(G7)*ABS(H7)</f>
        <v>0.29349925223494322</v>
      </c>
      <c r="L7" s="10">
        <v>5.2712641073307598</v>
      </c>
      <c r="M7" s="10" cm="1">
        <f t="array" ref="M7">(E7+2*D7-3712-VgC(L7)*1000)/1470</f>
        <v>0.89810074333464263</v>
      </c>
      <c r="N7" s="9">
        <f t="shared" si="0"/>
        <v>0.54848627420389506</v>
      </c>
    </row>
    <row r="8" spans="1:15" x14ac:dyDescent="0.3">
      <c r="C8" t="s">
        <v>6</v>
      </c>
      <c r="D8">
        <v>4562</v>
      </c>
      <c r="E8" s="33"/>
      <c r="F8" s="10"/>
      <c r="G8" s="10"/>
      <c r="H8" s="10"/>
      <c r="I8" s="10"/>
      <c r="J8" s="10"/>
      <c r="K8" s="10"/>
      <c r="L8" s="10"/>
      <c r="M8" s="10"/>
      <c r="N8" s="9"/>
    </row>
    <row r="9" spans="1:15" x14ac:dyDescent="0.3">
      <c r="C9" t="s">
        <v>8</v>
      </c>
      <c r="D9">
        <v>3762</v>
      </c>
      <c r="E9" s="33">
        <f t="shared" si="1"/>
        <v>693</v>
      </c>
      <c r="F9" s="10" cm="1">
        <f t="array" ref="F9">als(E9/1000)</f>
        <v>0.52592141791362368</v>
      </c>
      <c r="G9" s="10">
        <f>2/3</f>
        <v>0.66666666666666663</v>
      </c>
      <c r="H9" s="10">
        <v>3.65767764962734</v>
      </c>
      <c r="I9" s="10">
        <f t="shared" si="2"/>
        <v>0.47142857142857142</v>
      </c>
      <c r="J9" s="10">
        <f t="shared" si="3"/>
        <v>2.0696315374741436</v>
      </c>
      <c r="K9" s="10">
        <f t="shared" si="4"/>
        <v>2.9864812950564841</v>
      </c>
      <c r="L9" s="10">
        <v>4.04512267054809</v>
      </c>
      <c r="M9" s="10" cm="1">
        <f t="array" ref="M9">(E9+2*D9-3712-VgC(L9)*1000)/1470</f>
        <v>0.82355737130082107</v>
      </c>
      <c r="N9" s="9">
        <f t="shared" si="0"/>
        <v>346.91864840812599</v>
      </c>
    </row>
    <row r="10" spans="1:15" x14ac:dyDescent="0.3">
      <c r="B10" s="2"/>
      <c r="C10" t="s">
        <v>9</v>
      </c>
      <c r="D10">
        <v>4209</v>
      </c>
      <c r="E10" s="33">
        <f t="shared" si="1"/>
        <v>246</v>
      </c>
      <c r="F10" s="10" cm="1">
        <f t="array" ref="F10">als(E10/1000)</f>
        <v>1</v>
      </c>
      <c r="G10" s="10">
        <f>2/3</f>
        <v>0.66666666666666663</v>
      </c>
      <c r="H10" s="10">
        <v>-0.27517345146829297</v>
      </c>
      <c r="I10" s="10">
        <f t="shared" si="2"/>
        <v>0.16734693877551021</v>
      </c>
      <c r="J10" s="10">
        <f t="shared" si="3"/>
        <v>5.5270832842341917E-2</v>
      </c>
      <c r="K10" s="10">
        <f t="shared" si="4"/>
        <v>0.22467818228594277</v>
      </c>
      <c r="L10" s="10">
        <v>5.41104700682118</v>
      </c>
      <c r="M10" s="10" cm="1">
        <f t="array" ref="M10">(E10+2*D10-3712-VgC(L10)*1000)/1470</f>
        <v>0.91767251818639128</v>
      </c>
      <c r="N10" s="9">
        <f t="shared" si="0"/>
        <v>0.16699928464870689</v>
      </c>
    </row>
    <row r="11" spans="1:15" x14ac:dyDescent="0.3">
      <c r="C11" t="s">
        <v>10</v>
      </c>
      <c r="D11">
        <v>4608</v>
      </c>
      <c r="E11" s="33"/>
      <c r="F11" s="10"/>
      <c r="G11" s="10"/>
      <c r="H11" s="10"/>
      <c r="I11" s="10"/>
      <c r="J11" s="10"/>
      <c r="K11" s="10"/>
      <c r="L11" s="10"/>
      <c r="M11" s="10"/>
      <c r="N11" s="9"/>
    </row>
    <row r="12" spans="1:15" x14ac:dyDescent="0.3">
      <c r="C12" t="s">
        <v>11</v>
      </c>
      <c r="D12">
        <v>4974</v>
      </c>
      <c r="E12" s="33"/>
      <c r="F12" s="10"/>
      <c r="G12" s="10"/>
      <c r="H12" s="10"/>
      <c r="I12" s="10"/>
      <c r="J12" s="10"/>
      <c r="K12" s="10"/>
      <c r="L12" s="10"/>
      <c r="M12" s="10"/>
      <c r="N12" s="9"/>
    </row>
    <row r="13" spans="1:15" x14ac:dyDescent="0.3">
      <c r="A13" s="13" t="s">
        <v>13</v>
      </c>
      <c r="B13" s="13">
        <v>4917</v>
      </c>
      <c r="C13" s="13" t="s">
        <v>3</v>
      </c>
      <c r="D13" s="13">
        <v>3068</v>
      </c>
      <c r="E13" s="13">
        <f t="shared" ref="E13:E19" si="5">$B$13-D13</f>
        <v>1849</v>
      </c>
      <c r="F13" s="11" cm="1">
        <f t="array" ref="F13">als(E13/1000)</f>
        <v>0.29956492129142714</v>
      </c>
      <c r="G13" s="11">
        <v>0.33333333333333331</v>
      </c>
      <c r="H13" s="11">
        <v>0.51032911973339501</v>
      </c>
      <c r="I13" s="11">
        <f t="shared" si="2"/>
        <v>1.2578231292517006</v>
      </c>
      <c r="J13" s="28">
        <f t="shared" si="3"/>
        <v>0.54478687245410029</v>
      </c>
      <c r="K13" s="11">
        <f t="shared" si="4"/>
        <v>0.29463865465338035</v>
      </c>
      <c r="L13" s="11">
        <v>2.0555394826094102</v>
      </c>
      <c r="M13" s="11" cm="1">
        <f t="array" ref="M13">(E13+2*D13-3712-VgC(L13)*1000)/1470</f>
        <v>0.99579366051401763</v>
      </c>
      <c r="N13" s="12">
        <f t="shared" si="0"/>
        <v>36.531593963885896</v>
      </c>
      <c r="O13" s="16"/>
    </row>
    <row r="14" spans="1:15" x14ac:dyDescent="0.3">
      <c r="B14" s="2"/>
      <c r="C14" t="s">
        <v>4</v>
      </c>
      <c r="D14">
        <v>3674</v>
      </c>
      <c r="E14">
        <f t="shared" si="5"/>
        <v>1243</v>
      </c>
      <c r="F14" s="10" cm="1">
        <f t="array" ref="F14">als(E14/1000)</f>
        <v>0.36015351901298437</v>
      </c>
      <c r="G14" s="10">
        <v>0.33333333333333331</v>
      </c>
      <c r="H14" s="10">
        <v>2.94815242303422</v>
      </c>
      <c r="I14" s="10">
        <f t="shared" si="2"/>
        <v>0.84557823129251697</v>
      </c>
      <c r="J14" s="31">
        <f t="shared" si="3"/>
        <v>2.1157309276482121</v>
      </c>
      <c r="K14" s="10">
        <f t="shared" si="4"/>
        <v>1.7021165950508543</v>
      </c>
      <c r="L14" s="10">
        <v>3.83841691381935</v>
      </c>
      <c r="M14" s="10" cm="1">
        <f t="array" ref="M14">(E14+2*D14-3712-VgC(L14)*1000)/1470</f>
        <v>1.1103851296138489</v>
      </c>
      <c r="N14" s="9">
        <f t="shared" si="0"/>
        <v>445.31481796223966</v>
      </c>
    </row>
    <row r="15" spans="1:15" x14ac:dyDescent="0.3">
      <c r="C15" t="s">
        <v>5</v>
      </c>
      <c r="D15">
        <v>4149</v>
      </c>
      <c r="E15" s="33">
        <f t="shared" si="5"/>
        <v>768</v>
      </c>
      <c r="F15" s="10" cm="1">
        <f t="array" ref="F15">als(E15/1000)</f>
        <v>0.48493985302163711</v>
      </c>
      <c r="G15" s="10">
        <v>0.33333333333333331</v>
      </c>
      <c r="H15" s="10">
        <v>-4.2288393582036496</v>
      </c>
      <c r="I15" s="10">
        <f t="shared" si="2"/>
        <v>0.52244897959183678</v>
      </c>
      <c r="J15" s="10">
        <f t="shared" si="3"/>
        <v>1.8750885441166552</v>
      </c>
      <c r="K15" s="10">
        <f t="shared" si="4"/>
        <v>2.4415215418185614</v>
      </c>
      <c r="L15" s="10">
        <v>5.2712641073307598</v>
      </c>
      <c r="M15" s="10" cm="1">
        <f t="array" ref="M15">(E15+2*D15-3712-VgC(L15)*1000)/1470</f>
        <v>1.2123864576203569</v>
      </c>
      <c r="N15" s="9">
        <f t="shared" si="0"/>
        <v>290.99139314723635</v>
      </c>
      <c r="O15" s="16"/>
    </row>
    <row r="16" spans="1:15" x14ac:dyDescent="0.3">
      <c r="C16" t="s">
        <v>6</v>
      </c>
      <c r="D16">
        <v>4562</v>
      </c>
      <c r="E16" s="33">
        <f t="shared" si="5"/>
        <v>355</v>
      </c>
      <c r="F16" s="10" cm="1">
        <f t="array" ref="F16">als(E16/1000)</f>
        <v>1</v>
      </c>
      <c r="G16" s="10">
        <v>0.33333333333333331</v>
      </c>
      <c r="H16" s="10">
        <v>0.39718581504143802</v>
      </c>
      <c r="I16" s="10">
        <f t="shared" si="2"/>
        <v>0.24149659863945577</v>
      </c>
      <c r="J16" s="10">
        <f t="shared" si="3"/>
        <v>8.140694471752867E-2</v>
      </c>
      <c r="K16" s="10">
        <f t="shared" si="4"/>
        <v>0.22931533723247513</v>
      </c>
      <c r="L16" s="10">
        <v>6.5276697104515504</v>
      </c>
      <c r="M16" s="10" cm="1">
        <f t="array" ref="M16">(E16+2*D16-3712-VgC(L16)*1000)/1470</f>
        <v>1.303617400251722</v>
      </c>
      <c r="N16" s="9">
        <f t="shared" si="0"/>
        <v>0.52280381780581853</v>
      </c>
    </row>
    <row r="17" spans="1:14" x14ac:dyDescent="0.3">
      <c r="C17" t="s">
        <v>8</v>
      </c>
      <c r="D17">
        <v>3762</v>
      </c>
      <c r="E17">
        <f t="shared" si="5"/>
        <v>1155</v>
      </c>
      <c r="F17" s="10" cm="1">
        <f t="array" ref="F17">als(E17/1000)</f>
        <v>0.37445031527088146</v>
      </c>
      <c r="G17" s="10">
        <f>2/3</f>
        <v>0.66666666666666663</v>
      </c>
      <c r="H17" s="10">
        <v>-2.08234560620155</v>
      </c>
      <c r="I17" s="10">
        <f t="shared" si="2"/>
        <v>0.7857142857142857</v>
      </c>
      <c r="J17" s="31">
        <f t="shared" si="3"/>
        <v>1.9637634182783215</v>
      </c>
      <c r="K17" s="10">
        <f t="shared" si="4"/>
        <v>1.7002280677734385</v>
      </c>
      <c r="L17" s="10">
        <v>4.04512267054809</v>
      </c>
      <c r="M17" s="10" cm="1">
        <f t="array" ref="M17">(E17+2*D17-3712-VgC(L17)*1000)/1470</f>
        <v>1.1378430855865354</v>
      </c>
      <c r="N17" s="9">
        <f t="shared" si="0"/>
        <v>370.63122254968437</v>
      </c>
    </row>
    <row r="18" spans="1:14" x14ac:dyDescent="0.3">
      <c r="B18" s="2"/>
      <c r="C18" t="s">
        <v>9</v>
      </c>
      <c r="D18">
        <v>4209</v>
      </c>
      <c r="E18" s="33">
        <f t="shared" si="5"/>
        <v>708</v>
      </c>
      <c r="F18" s="10" cm="1">
        <f t="array" ref="F18">als(E18/1000)</f>
        <v>0.51672849465510085</v>
      </c>
      <c r="G18" s="10">
        <f>2/3</f>
        <v>0.66666666666666663</v>
      </c>
      <c r="H18" s="10">
        <v>4.7587410409405804</v>
      </c>
      <c r="I18" s="10">
        <f t="shared" si="2"/>
        <v>0.48163265306122449</v>
      </c>
      <c r="J18" s="10">
        <f t="shared" si="3"/>
        <v>2.7509310189294895</v>
      </c>
      <c r="K18" s="10">
        <f t="shared" si="4"/>
        <v>3.8854957894484317</v>
      </c>
      <c r="L18" s="10">
        <v>5.41104700682118</v>
      </c>
      <c r="M18" s="10" cm="1">
        <f t="array" ref="M18">(E18+2*D18-3712-VgC(L18)*1000)/1470</f>
        <v>1.2319582324721057</v>
      </c>
      <c r="N18" s="9">
        <f t="shared" si="0"/>
        <v>615.23715572305639</v>
      </c>
    </row>
    <row r="19" spans="1:14" x14ac:dyDescent="0.3">
      <c r="C19" t="s">
        <v>10</v>
      </c>
      <c r="D19">
        <v>4608</v>
      </c>
      <c r="E19" s="33">
        <f t="shared" si="5"/>
        <v>309</v>
      </c>
      <c r="F19" s="10" cm="1">
        <f t="array" ref="F19">als(E19/1000)</f>
        <v>1</v>
      </c>
      <c r="G19" s="10">
        <f>2/3</f>
        <v>0.66666666666666663</v>
      </c>
      <c r="H19" s="10">
        <v>-0.246900607865668</v>
      </c>
      <c r="I19" s="10">
        <f t="shared" si="2"/>
        <v>0.21020408163265306</v>
      </c>
      <c r="J19" s="10">
        <f t="shared" si="3"/>
        <v>6.2292392164750202E-2</v>
      </c>
      <c r="K19" s="10">
        <f t="shared" si="4"/>
        <v>0.20159350215129515</v>
      </c>
      <c r="L19" s="10">
        <v>6.6325211715344397</v>
      </c>
      <c r="M19" s="10" cm="1">
        <f t="array" ref="M19">(E19+2*D19-3712-VgC(L19)*1000)/1470</f>
        <v>1.3191791041134251</v>
      </c>
      <c r="N19" s="9">
        <f t="shared" si="0"/>
        <v>0.26645015901701619</v>
      </c>
    </row>
    <row r="20" spans="1:14" x14ac:dyDescent="0.3">
      <c r="C20" t="s">
        <v>11</v>
      </c>
      <c r="D20">
        <v>4974</v>
      </c>
      <c r="E20" s="33"/>
      <c r="F20" s="10"/>
      <c r="G20" s="10"/>
      <c r="H20" s="10"/>
      <c r="I20" s="10"/>
      <c r="J20" s="10"/>
      <c r="K20" s="10"/>
      <c r="L20" s="10"/>
      <c r="M20" s="10"/>
      <c r="N20" s="9"/>
    </row>
    <row r="21" spans="1:14" x14ac:dyDescent="0.3">
      <c r="A21" s="13" t="s">
        <v>14</v>
      </c>
      <c r="B21" s="13">
        <v>5315</v>
      </c>
      <c r="C21" s="13" t="s">
        <v>3</v>
      </c>
      <c r="D21" s="13">
        <v>3068</v>
      </c>
      <c r="E21" s="13">
        <f t="shared" ref="E21:E28" si="6">$B$21-D21</f>
        <v>2247</v>
      </c>
      <c r="F21" s="11" cm="1">
        <f t="array" ref="F21">als(E21/1000)</f>
        <v>0.27713834406569038</v>
      </c>
      <c r="G21" s="11">
        <v>0.33333333333333331</v>
      </c>
      <c r="H21" s="11">
        <v>0.200752911774225</v>
      </c>
      <c r="I21" s="11">
        <f t="shared" si="2"/>
        <v>1.5285714285714285</v>
      </c>
      <c r="J21" s="11">
        <f t="shared" si="3"/>
        <v>0.26043796797730212</v>
      </c>
      <c r="K21" s="11">
        <f t="shared" si="4"/>
        <v>0.11590474765344999</v>
      </c>
      <c r="L21" s="11">
        <v>2.0555394826094102</v>
      </c>
      <c r="M21" s="11" cm="1">
        <f t="array" ref="M21">(E21+2*D21-3712-VgC(L21)*1000)/1470</f>
        <v>1.2665419598337455</v>
      </c>
      <c r="N21" s="12">
        <f t="shared" si="0"/>
        <v>9.3863290019713954</v>
      </c>
    </row>
    <row r="22" spans="1:14" x14ac:dyDescent="0.3">
      <c r="A22" s="13"/>
      <c r="B22" s="17"/>
      <c r="C22" s="13" t="s">
        <v>4</v>
      </c>
      <c r="D22" s="13">
        <v>3674</v>
      </c>
      <c r="E22" s="13">
        <f t="shared" si="6"/>
        <v>1641</v>
      </c>
      <c r="F22" s="11" cm="1">
        <f t="array" ref="F22">als(E22/1000)</f>
        <v>0.31533788997511591</v>
      </c>
      <c r="G22" s="11">
        <v>0.33333333333333331</v>
      </c>
      <c r="H22" s="11">
        <v>0.50835561685439501</v>
      </c>
      <c r="I22" s="11">
        <f>E22/1470</f>
        <v>1.116326530612245</v>
      </c>
      <c r="J22" s="11">
        <f t="shared" si="3"/>
        <v>0.48163227291754174</v>
      </c>
      <c r="K22" s="11">
        <f t="shared" si="4"/>
        <v>0.29349925223494322</v>
      </c>
      <c r="L22" s="11">
        <v>3.83841691381935</v>
      </c>
      <c r="M22" s="11" cm="1">
        <f t="array" ref="M22">(E22+2*D22-3712-VgC(L22)*1000)/1470</f>
        <v>1.3811334289335768</v>
      </c>
      <c r="N22" s="12">
        <f t="shared" si="0"/>
        <v>26.674935925124878</v>
      </c>
    </row>
    <row r="23" spans="1:14" x14ac:dyDescent="0.3">
      <c r="C23" t="s">
        <v>5</v>
      </c>
      <c r="D23">
        <v>4149</v>
      </c>
      <c r="E23">
        <f t="shared" si="6"/>
        <v>1166</v>
      </c>
      <c r="F23" s="10" cm="1">
        <f t="array" ref="F23">als(E23/1000)</f>
        <v>0.37253478483631519</v>
      </c>
      <c r="G23" s="10">
        <v>0.33333333333333331</v>
      </c>
      <c r="H23" s="10">
        <v>3.7304465010018601</v>
      </c>
      <c r="I23" s="10">
        <f t="shared" si="2"/>
        <v>0.79319727891156466</v>
      </c>
      <c r="J23" s="31">
        <f t="shared" si="3"/>
        <v>2.5113008239483747</v>
      </c>
      <c r="K23" s="10">
        <f t="shared" si="4"/>
        <v>2.1537742915509215</v>
      </c>
      <c r="L23" s="10">
        <v>5.2712641073307598</v>
      </c>
      <c r="M23" s="10" cm="1">
        <f t="array" ref="M23">(E23+2*D23-3712-VgC(L23)*1000)/1470</f>
        <v>1.4831347569400848</v>
      </c>
      <c r="N23" s="9">
        <f t="shared" si="0"/>
        <v>608.76593924535666</v>
      </c>
    </row>
    <row r="24" spans="1:14" x14ac:dyDescent="0.3">
      <c r="C24" t="s">
        <v>6</v>
      </c>
      <c r="D24">
        <v>4562</v>
      </c>
      <c r="E24">
        <f t="shared" si="6"/>
        <v>753</v>
      </c>
      <c r="F24" s="10" cm="1">
        <f t="array" ref="F24">als(E24/1000)</f>
        <v>0.49222895681791817</v>
      </c>
      <c r="G24" s="10">
        <v>0.33333333333333331</v>
      </c>
      <c r="H24" s="10">
        <v>-5.77123342382112</v>
      </c>
      <c r="I24" s="10">
        <f t="shared" si="2"/>
        <v>0.51224489795918371</v>
      </c>
      <c r="J24" s="31">
        <f t="shared" si="3"/>
        <v>2.5090134476118648</v>
      </c>
      <c r="K24" s="10">
        <f t="shared" si="4"/>
        <v>3.3320231707992889</v>
      </c>
      <c r="L24" s="10">
        <v>6.5276697104515504</v>
      </c>
      <c r="M24" s="10" cm="1">
        <f t="array" ref="M24">(E24+2*D24-3712-VgC(L24)*1000)/1470</f>
        <v>1.5743656995714499</v>
      </c>
      <c r="N24" s="9">
        <f t="shared" si="0"/>
        <v>518.50816449141064</v>
      </c>
    </row>
    <row r="25" spans="1:14" x14ac:dyDescent="0.3">
      <c r="A25" s="13"/>
      <c r="B25" s="13"/>
      <c r="C25" s="13" t="s">
        <v>8</v>
      </c>
      <c r="D25" s="13">
        <v>3762</v>
      </c>
      <c r="E25" s="13">
        <f t="shared" si="6"/>
        <v>1553</v>
      </c>
      <c r="F25" s="11" cm="1">
        <f t="array" ref="F25">als(E25/1000)</f>
        <v>0.32324674747318383</v>
      </c>
      <c r="G25" s="11">
        <f>2/3</f>
        <v>0.66666666666666663</v>
      </c>
      <c r="H25" s="11">
        <v>-0.164480547866003</v>
      </c>
      <c r="I25" s="11">
        <f t="shared" si="2"/>
        <v>1.0564625850340137</v>
      </c>
      <c r="J25" s="11">
        <f t="shared" si="3"/>
        <v>0.20856449110553663</v>
      </c>
      <c r="K25" s="11">
        <f t="shared" si="4"/>
        <v>0.13429780496171062</v>
      </c>
      <c r="L25" s="11">
        <v>4.04512267054809</v>
      </c>
      <c r="M25" s="11" cm="1">
        <f t="array" ref="M25">(E25+2*D25-3712-VgC(L25)*1000)/1470</f>
        <v>1.4085913849062632</v>
      </c>
      <c r="N25" s="12">
        <f t="shared" si="0"/>
        <v>4.852592759112202</v>
      </c>
    </row>
    <row r="26" spans="1:14" x14ac:dyDescent="0.3">
      <c r="C26" t="s">
        <v>9</v>
      </c>
      <c r="D26">
        <v>4209</v>
      </c>
      <c r="E26">
        <f t="shared" si="6"/>
        <v>1106</v>
      </c>
      <c r="F26" s="10" cm="1">
        <f t="array" ref="F26">als(E26/1000)</f>
        <v>0.38349546924410993</v>
      </c>
      <c r="G26" s="10">
        <f>2/3</f>
        <v>0.66666666666666663</v>
      </c>
      <c r="H26" s="10">
        <v>-3.2038005443231898</v>
      </c>
      <c r="I26" s="10">
        <f t="shared" si="2"/>
        <v>0.75238095238095237</v>
      </c>
      <c r="J26" s="31">
        <f t="shared" si="3"/>
        <v>2.893176762598185</v>
      </c>
      <c r="K26" s="10">
        <f t="shared" si="4"/>
        <v>2.615892190414272</v>
      </c>
      <c r="L26" s="10">
        <v>5.41104700682118</v>
      </c>
      <c r="M26" s="10" cm="1">
        <f t="array" ref="M26">(E26+2*D26-3712-VgC(L26)*1000)/1470</f>
        <v>1.5027065317918336</v>
      </c>
      <c r="N26" s="9">
        <f t="shared" si="0"/>
        <v>788.95600694158884</v>
      </c>
    </row>
    <row r="27" spans="1:14" x14ac:dyDescent="0.3">
      <c r="C27" t="s">
        <v>10</v>
      </c>
      <c r="D27">
        <v>4608</v>
      </c>
      <c r="E27" s="33">
        <f t="shared" si="6"/>
        <v>707</v>
      </c>
      <c r="F27" s="10" cm="1">
        <f t="array" ref="F27">als(E27/1000)</f>
        <v>0.51732377195189327</v>
      </c>
      <c r="G27" s="10">
        <f>2/3</f>
        <v>0.66666666666666663</v>
      </c>
      <c r="H27" s="10">
        <v>6.1375783311590899</v>
      </c>
      <c r="I27" s="10">
        <f t="shared" si="2"/>
        <v>0.48095238095238096</v>
      </c>
      <c r="J27" s="10">
        <f t="shared" si="3"/>
        <v>3.5429973878552192</v>
      </c>
      <c r="K27" s="10">
        <f t="shared" si="4"/>
        <v>5.0113117225674957</v>
      </c>
      <c r="L27" s="10">
        <v>6.6325211715344397</v>
      </c>
      <c r="M27" s="10" cm="1">
        <f t="array" ref="M27">(E27+2*D27-3712-VgC(L27)*1000)/1470</f>
        <v>1.589927403433153</v>
      </c>
      <c r="N27" s="9">
        <f t="shared" si="0"/>
        <v>1020.2603279741337</v>
      </c>
    </row>
    <row r="28" spans="1:14" x14ac:dyDescent="0.3">
      <c r="C28" t="s">
        <v>11</v>
      </c>
      <c r="D28">
        <v>4974</v>
      </c>
      <c r="E28" s="33">
        <f t="shared" si="6"/>
        <v>341</v>
      </c>
      <c r="F28" s="10" cm="1">
        <f t="array" ref="F28">als(E28/1000)</f>
        <v>1</v>
      </c>
      <c r="G28" s="10">
        <f>2/3</f>
        <v>0.66666666666666663</v>
      </c>
      <c r="H28" s="10">
        <v>-0.96280619289598801</v>
      </c>
      <c r="I28" s="10">
        <f t="shared" si="2"/>
        <v>0.23197278911564626</v>
      </c>
      <c r="J28" s="10">
        <f t="shared" si="3"/>
        <v>0.26806963592710464</v>
      </c>
      <c r="K28" s="10">
        <f t="shared" si="4"/>
        <v>0.78612796459561485</v>
      </c>
      <c r="L28" s="10">
        <v>7.7560446758789903</v>
      </c>
      <c r="M28" s="10" cm="1">
        <f t="array" ref="M28">(E28+2*D28-3712-VgC(L28)*1000)/1470</f>
        <v>1.6710163278244892</v>
      </c>
      <c r="N28" s="9">
        <f t="shared" si="0"/>
        <v>5.4454918732837427</v>
      </c>
    </row>
    <row r="29" spans="1:14" x14ac:dyDescent="0.3"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3"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3">
      <c r="A31" s="2"/>
      <c r="B31" s="2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3">
      <c r="A32" s="2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3"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3"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3">
      <c r="A35" t="s">
        <v>43</v>
      </c>
      <c r="G35" s="40" t="s">
        <v>104</v>
      </c>
      <c r="H35" s="5"/>
      <c r="I35" s="5" t="s">
        <v>102</v>
      </c>
      <c r="J35" s="5"/>
      <c r="K35" s="6" t="s">
        <v>101</v>
      </c>
      <c r="L35" s="5" t="s">
        <v>103</v>
      </c>
      <c r="M35" s="6"/>
    </row>
    <row r="36" spans="1:14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36</v>
      </c>
      <c r="G37" s="1" t="s">
        <v>46</v>
      </c>
      <c r="H37" s="1" t="s">
        <v>7</v>
      </c>
      <c r="I37" s="1" t="s">
        <v>67</v>
      </c>
      <c r="J37" s="1" t="s">
        <v>92</v>
      </c>
      <c r="K37" s="27" t="s">
        <v>73</v>
      </c>
      <c r="L37" s="27" t="s">
        <v>74</v>
      </c>
      <c r="M37" s="27" t="s">
        <v>78</v>
      </c>
      <c r="N37" s="1" t="s">
        <v>38</v>
      </c>
    </row>
    <row r="38" spans="1:14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/>
      <c r="J38" s="1"/>
      <c r="K38" s="27" t="s">
        <v>95</v>
      </c>
      <c r="L38" s="27" t="s">
        <v>95</v>
      </c>
      <c r="M38" s="27"/>
      <c r="N38" s="1" t="s">
        <v>34</v>
      </c>
    </row>
    <row r="39" spans="1:14" x14ac:dyDescent="0.3">
      <c r="A39" t="s">
        <v>2</v>
      </c>
      <c r="B39">
        <v>10977</v>
      </c>
      <c r="C39" t="s">
        <v>3</v>
      </c>
      <c r="D39">
        <v>9551</v>
      </c>
      <c r="E39">
        <f t="shared" ref="E39:E46" si="7">$B$39-D39</f>
        <v>1426</v>
      </c>
      <c r="F39" s="10" cm="1">
        <f t="array" ref="F39">als(E39/1000)</f>
        <v>0.33637636291200601</v>
      </c>
      <c r="G39" s="10">
        <v>0.33333333333333331</v>
      </c>
      <c r="H39" s="10">
        <v>1.21743305702948</v>
      </c>
      <c r="I39" s="10">
        <f>E39/4880</f>
        <v>0.29221311475409834</v>
      </c>
      <c r="J39" s="31">
        <f t="shared" ref="J39:J62" si="8">SQRT(G39)*ABS(H39/1000)*E39</f>
        <v>1.0023144423579513</v>
      </c>
      <c r="K39" s="10">
        <f>SQRT(G39)*ABS(H39)</f>
        <v>0.70288530319631926</v>
      </c>
      <c r="L39" s="10">
        <v>1.20873770697426</v>
      </c>
      <c r="M39" s="10" cm="1">
        <f t="array" ref="M39">(E39+2*D39-10537-VgB(L39)*1000)/4880</f>
        <v>0.12718763026121219</v>
      </c>
      <c r="N39" s="9">
        <f t="shared" ref="N39:N62" si="9">(4/3)*F39*(1/3)*(1/2)*E39^3*G39*(H39/1000)^2</f>
        <v>107.08791389949732</v>
      </c>
    </row>
    <row r="40" spans="1:14" x14ac:dyDescent="0.3">
      <c r="B40" s="2"/>
      <c r="C40" t="s">
        <v>4</v>
      </c>
      <c r="D40">
        <v>10017</v>
      </c>
      <c r="E40">
        <f t="shared" si="7"/>
        <v>960</v>
      </c>
      <c r="F40" s="10" cm="1">
        <f t="array" ref="F40">als(E40/1000)</f>
        <v>0.41675073100517551</v>
      </c>
      <c r="G40" s="10">
        <v>0.33333333333333331</v>
      </c>
      <c r="H40" s="10">
        <v>-2.1551157705487198</v>
      </c>
      <c r="I40" s="10">
        <f t="shared" ref="I40:I62" si="10">E40/4880</f>
        <v>0.19672131147540983</v>
      </c>
      <c r="J40" s="31">
        <f t="shared" si="8"/>
        <v>1.1944864034506668</v>
      </c>
      <c r="K40" s="10">
        <f>SQRT(G40)*ABS(H40)</f>
        <v>1.2442566702611111</v>
      </c>
      <c r="L40" s="10">
        <v>2.4490469895425302</v>
      </c>
      <c r="M40" s="10" cm="1">
        <f t="array" ref="M40">(E40+2*D40-10537-VgB(L40)*1000)/4880</f>
        <v>0.14742872956783865</v>
      </c>
      <c r="N40" s="9">
        <f t="shared" si="9"/>
        <v>126.85205606878587</v>
      </c>
    </row>
    <row r="41" spans="1:14" x14ac:dyDescent="0.3">
      <c r="C41" t="s">
        <v>5</v>
      </c>
      <c r="D41">
        <v>10355</v>
      </c>
      <c r="E41" s="33">
        <f t="shared" si="7"/>
        <v>622</v>
      </c>
      <c r="F41" s="10" cm="1">
        <f t="array" ref="F41">als(E41/1000)</f>
        <v>0.57888636608154742</v>
      </c>
      <c r="G41" s="10">
        <v>0.33333333333333331</v>
      </c>
      <c r="H41" s="10">
        <v>0.59541563335668302</v>
      </c>
      <c r="I41" s="10">
        <f t="shared" si="10"/>
        <v>0.12745901639344262</v>
      </c>
      <c r="J41" s="10">
        <f t="shared" si="8"/>
        <v>0.21382081999527572</v>
      </c>
      <c r="K41" s="10">
        <f t="shared" ref="K41:K62" si="11">SQRT(G41)*ABS(H41)</f>
        <v>0.34376337619819242</v>
      </c>
      <c r="L41" s="10">
        <v>3.4295530668187899</v>
      </c>
      <c r="M41" s="10" cm="1">
        <f t="array" ref="M41">(E41+2*D41-10537-VgB(L41)*1000)/4880</f>
        <v>0.16775124069459432</v>
      </c>
      <c r="N41" s="9">
        <f t="shared" si="9"/>
        <v>3.6582314034281</v>
      </c>
    </row>
    <row r="42" spans="1:14" x14ac:dyDescent="0.3">
      <c r="C42" t="s">
        <v>6</v>
      </c>
      <c r="D42">
        <v>10643</v>
      </c>
      <c r="E42" s="33">
        <f t="shared" si="7"/>
        <v>334</v>
      </c>
      <c r="F42" s="10" cm="1">
        <f t="array" ref="F42">als(E42/1000)</f>
        <v>1</v>
      </c>
      <c r="G42" s="10">
        <v>0.33333333333333331</v>
      </c>
      <c r="H42" s="10">
        <v>4.6502871544343197E-2</v>
      </c>
      <c r="I42" s="10">
        <f t="shared" si="10"/>
        <v>6.8442622950819668E-2</v>
      </c>
      <c r="J42" s="10">
        <f t="shared" si="8"/>
        <v>8.9673807650085223E-3</v>
      </c>
      <c r="K42" s="10">
        <f t="shared" si="11"/>
        <v>2.6848445404217131E-2</v>
      </c>
      <c r="L42" s="10">
        <v>4.2872389731671996</v>
      </c>
      <c r="M42" s="10" cm="1">
        <f t="array" ref="M42">(E42+2*D42-10537-VgB(L42)*1000)/4880</f>
        <v>0.18611141501464734</v>
      </c>
      <c r="N42" s="9">
        <f t="shared" si="9"/>
        <v>5.9684996755714152E-3</v>
      </c>
    </row>
    <row r="43" spans="1:14" x14ac:dyDescent="0.3">
      <c r="C43" t="s">
        <v>8</v>
      </c>
      <c r="D43">
        <v>10106</v>
      </c>
      <c r="E43">
        <f t="shared" si="7"/>
        <v>871</v>
      </c>
      <c r="F43" s="10" cm="1">
        <f t="array" ref="F43">als(E43/1000)</f>
        <v>0.44364638287185443</v>
      </c>
      <c r="G43" s="10">
        <f>2/3</f>
        <v>0.66666666666666663</v>
      </c>
      <c r="H43" s="10">
        <v>2.49689609128282</v>
      </c>
      <c r="I43" s="10">
        <f t="shared" si="10"/>
        <v>0.17848360655737705</v>
      </c>
      <c r="J43" s="31">
        <f t="shared" si="8"/>
        <v>1.7757139027953406</v>
      </c>
      <c r="K43" s="10">
        <f t="shared" si="11"/>
        <v>2.0387071214642258</v>
      </c>
      <c r="L43" s="10">
        <v>2.6197365527972898</v>
      </c>
      <c r="M43" s="10" cm="1">
        <f t="array" ref="M43">(E43+2*D43-10537-VgB(L43)*1000)/4880</f>
        <v>0.15683789065857745</v>
      </c>
      <c r="N43" s="9">
        <f t="shared" si="9"/>
        <v>270.76253791033889</v>
      </c>
    </row>
    <row r="44" spans="1:14" x14ac:dyDescent="0.3">
      <c r="B44" s="2"/>
      <c r="C44" t="s">
        <v>9</v>
      </c>
      <c r="D44">
        <v>10416</v>
      </c>
      <c r="E44" s="33">
        <f t="shared" si="7"/>
        <v>561</v>
      </c>
      <c r="F44" s="10" cm="1">
        <f t="array" ref="F44">als(E44/1000)</f>
        <v>0.64291324663329197</v>
      </c>
      <c r="G44" s="10">
        <f>2/3</f>
        <v>0.66666666666666663</v>
      </c>
      <c r="H44" s="10">
        <v>-0.49965026715608701</v>
      </c>
      <c r="I44" s="10">
        <f t="shared" si="10"/>
        <v>0.11495901639344262</v>
      </c>
      <c r="J44" s="10">
        <f t="shared" si="8"/>
        <v>0.22886709421863174</v>
      </c>
      <c r="K44" s="10">
        <f t="shared" si="11"/>
        <v>0.40796273479256995</v>
      </c>
      <c r="L44" s="10">
        <v>3.5477705192787301</v>
      </c>
      <c r="M44" s="10" cm="1">
        <f t="array" ref="M44">(E44+2*D44-10537-VgB(L44)*1000)/4880</f>
        <v>0.17456505260541599</v>
      </c>
      <c r="N44" s="9">
        <f t="shared" si="9"/>
        <v>4.1982609843322631</v>
      </c>
    </row>
    <row r="45" spans="1:14" x14ac:dyDescent="0.3">
      <c r="C45" t="s">
        <v>10</v>
      </c>
      <c r="D45">
        <v>10689</v>
      </c>
      <c r="E45" s="33">
        <f t="shared" si="7"/>
        <v>288</v>
      </c>
      <c r="F45" s="10" cm="1">
        <f t="array" ref="F45">als(E45/1000)</f>
        <v>1</v>
      </c>
      <c r="G45" s="10">
        <f>2/3</f>
        <v>0.66666666666666663</v>
      </c>
      <c r="H45" s="10">
        <v>-5.8525416858755203E-2</v>
      </c>
      <c r="I45" s="10">
        <f t="shared" si="10"/>
        <v>5.9016393442622953E-2</v>
      </c>
      <c r="J45" s="10">
        <f t="shared" si="8"/>
        <v>1.3762311195612532E-2</v>
      </c>
      <c r="K45" s="10">
        <f t="shared" si="11"/>
        <v>4.7785802762543517E-2</v>
      </c>
      <c r="L45" s="10">
        <v>4.3779667163029297</v>
      </c>
      <c r="M45" s="10" cm="1">
        <f t="array" ref="M45">(E45+2*D45-10537-VgB(L45)*1000)/4880</f>
        <v>0.19130268956354016</v>
      </c>
      <c r="N45" s="9">
        <f t="shared" si="9"/>
        <v>1.2121677404472453E-2</v>
      </c>
    </row>
    <row r="46" spans="1:14" x14ac:dyDescent="0.3">
      <c r="C46" t="s">
        <v>11</v>
      </c>
      <c r="D46">
        <v>10939</v>
      </c>
      <c r="E46" s="33">
        <f t="shared" si="7"/>
        <v>38</v>
      </c>
      <c r="F46" s="10" cm="1">
        <f t="array" ref="F46">als(E46/1000)</f>
        <v>1E-4</v>
      </c>
      <c r="G46" s="10">
        <f>2/3</f>
        <v>0.66666666666666663</v>
      </c>
      <c r="H46" s="10">
        <v>-2.2472632578415998E-2</v>
      </c>
      <c r="I46" s="10">
        <f t="shared" si="10"/>
        <v>7.7868852459016397E-3</v>
      </c>
      <c r="J46" s="10">
        <f t="shared" si="8"/>
        <v>6.9725545125942417E-4</v>
      </c>
      <c r="K46" s="10">
        <f t="shared" si="11"/>
        <v>1.8348827664721692E-2</v>
      </c>
      <c r="L46" s="10">
        <v>5.1386442490654396</v>
      </c>
      <c r="M46" s="10" cm="1">
        <f t="array" ref="M46">(E46+2*D46-10537-VgB(L46)*1000)/4880</f>
        <v>0.20735582224776006</v>
      </c>
      <c r="N46" s="9">
        <f t="shared" si="9"/>
        <v>4.1053947208483039E-10</v>
      </c>
    </row>
    <row r="47" spans="1:14" x14ac:dyDescent="0.3">
      <c r="A47" s="13" t="s">
        <v>13</v>
      </c>
      <c r="B47" s="13">
        <v>11261</v>
      </c>
      <c r="C47" s="13" t="s">
        <v>3</v>
      </c>
      <c r="D47" s="13">
        <v>9551</v>
      </c>
      <c r="E47" s="13">
        <f>$B$47-D47</f>
        <v>1710</v>
      </c>
      <c r="F47" s="11" cm="1">
        <f t="array" ref="F47">als(E47/1000)</f>
        <v>0.30969518719271066</v>
      </c>
      <c r="G47" s="11">
        <v>0.33333333333333331</v>
      </c>
      <c r="H47" s="11">
        <v>0.46679707027973399</v>
      </c>
      <c r="I47" s="11">
        <f t="shared" si="10"/>
        <v>0.35040983606557374</v>
      </c>
      <c r="J47" s="11">
        <f t="shared" si="8"/>
        <v>0.46085425825281556</v>
      </c>
      <c r="K47" s="11">
        <f t="shared" si="11"/>
        <v>0.26950541418293306</v>
      </c>
      <c r="L47" s="11">
        <v>1.20873770697426</v>
      </c>
      <c r="M47" s="11" cm="1">
        <f t="array" ref="M47">(E47+2*D47-10537-VgB(L47)*1000)/4880</f>
        <v>0.18538435157268759</v>
      </c>
      <c r="N47" s="12">
        <f t="shared" si="9"/>
        <v>24.994546553121289</v>
      </c>
    </row>
    <row r="48" spans="1:14" x14ac:dyDescent="0.3">
      <c r="B48" s="2"/>
      <c r="C48" t="s">
        <v>4</v>
      </c>
      <c r="D48">
        <v>10017</v>
      </c>
      <c r="E48">
        <f t="shared" ref="E48:E54" si="12">$B$47-D48</f>
        <v>1244</v>
      </c>
      <c r="F48" s="10" cm="1">
        <f t="array" ref="F48">als(E48/1000)</f>
        <v>0.36000355827268887</v>
      </c>
      <c r="G48" s="10">
        <v>0.33333333333333331</v>
      </c>
      <c r="H48" s="10">
        <v>1.3892785268804</v>
      </c>
      <c r="I48" s="10">
        <f t="shared" si="10"/>
        <v>0.25491803278688524</v>
      </c>
      <c r="J48" s="31">
        <f t="shared" si="8"/>
        <v>0.9978128123533645</v>
      </c>
      <c r="K48" s="10">
        <f t="shared" si="11"/>
        <v>0.80210033147376558</v>
      </c>
      <c r="L48" s="10">
        <v>2.4490469895425302</v>
      </c>
      <c r="M48" s="10" cm="1">
        <f t="array" ref="M48">(E48+2*D48-10537-VgB(L48)*1000)/4880</f>
        <v>0.20562545087931405</v>
      </c>
      <c r="N48" s="9">
        <f t="shared" si="9"/>
        <v>99.086117620078369</v>
      </c>
    </row>
    <row r="49" spans="1:14" x14ac:dyDescent="0.3">
      <c r="C49" t="s">
        <v>5</v>
      </c>
      <c r="D49">
        <v>10355</v>
      </c>
      <c r="E49">
        <f t="shared" si="12"/>
        <v>906</v>
      </c>
      <c r="F49" s="10" cm="1">
        <f t="array" ref="F49">als(E49/1000)</f>
        <v>0.43229659733678028</v>
      </c>
      <c r="G49" s="10">
        <v>0.33333333333333331</v>
      </c>
      <c r="H49" s="10">
        <v>-3.2505617757921699</v>
      </c>
      <c r="I49" s="10">
        <f t="shared" si="10"/>
        <v>0.18565573770491803</v>
      </c>
      <c r="J49" s="31">
        <f t="shared" si="8"/>
        <v>1.7003017209416322</v>
      </c>
      <c r="K49" s="10">
        <f t="shared" si="11"/>
        <v>1.876712716271117</v>
      </c>
      <c r="L49" s="10">
        <v>3.4295530668187899</v>
      </c>
      <c r="M49" s="10" cm="1">
        <f t="array" ref="M49">(E49+2*D49-10537-VgB(L49)*1000)/4880</f>
        <v>0.22594796200606973</v>
      </c>
      <c r="N49" s="9">
        <f t="shared" si="9"/>
        <v>251.62250976514468</v>
      </c>
    </row>
    <row r="50" spans="1:14" x14ac:dyDescent="0.3">
      <c r="C50" t="s">
        <v>6</v>
      </c>
      <c r="D50">
        <v>10643</v>
      </c>
      <c r="E50" s="33">
        <f t="shared" si="12"/>
        <v>618</v>
      </c>
      <c r="F50" s="10" cm="1">
        <f t="array" ref="F50">als(E50/1000)</f>
        <v>0.58245075765263488</v>
      </c>
      <c r="G50" s="10">
        <v>0.33333333333333331</v>
      </c>
      <c r="H50" s="10">
        <v>0.993891070609634</v>
      </c>
      <c r="I50" s="10">
        <f t="shared" si="10"/>
        <v>0.12663934426229509</v>
      </c>
      <c r="J50" s="10">
        <f t="shared" si="8"/>
        <v>0.35462278528589197</v>
      </c>
      <c r="K50" s="10">
        <f t="shared" si="11"/>
        <v>0.5738232771616375</v>
      </c>
      <c r="L50" s="10">
        <v>4.2872389731671996</v>
      </c>
      <c r="M50" s="10" cm="1">
        <f t="array" ref="M50">(E50+2*D50-10537-VgB(L50)*1000)/4880</f>
        <v>0.24430813632612275</v>
      </c>
      <c r="N50" s="9">
        <f t="shared" si="9"/>
        <v>10.05931594802159</v>
      </c>
    </row>
    <row r="51" spans="1:14" x14ac:dyDescent="0.3">
      <c r="C51" t="s">
        <v>8</v>
      </c>
      <c r="D51">
        <v>10106</v>
      </c>
      <c r="E51">
        <f t="shared" si="12"/>
        <v>1155</v>
      </c>
      <c r="F51" s="10" cm="1">
        <f t="array" ref="F51">als(E51/1000)</f>
        <v>0.37445031527088146</v>
      </c>
      <c r="G51" s="10">
        <f>2/3</f>
        <v>0.66666666666666663</v>
      </c>
      <c r="H51" s="10">
        <v>-1.0558444134246301</v>
      </c>
      <c r="I51" s="10">
        <f t="shared" si="10"/>
        <v>0.23668032786885246</v>
      </c>
      <c r="J51" s="31">
        <f t="shared" si="8"/>
        <v>0.99571782335354264</v>
      </c>
      <c r="K51" s="10">
        <f t="shared" si="11"/>
        <v>0.86209335355285088</v>
      </c>
      <c r="L51" s="10">
        <v>2.6197365527972898</v>
      </c>
      <c r="M51" s="10" cm="1">
        <f t="array" ref="M51">(E51+2*D51-10537-VgB(L51)*1000)/4880</f>
        <v>0.21503461197005286</v>
      </c>
      <c r="N51" s="9">
        <f t="shared" si="9"/>
        <v>95.287565909300142</v>
      </c>
    </row>
    <row r="52" spans="1:14" x14ac:dyDescent="0.3">
      <c r="B52" s="2"/>
      <c r="C52" t="s">
        <v>9</v>
      </c>
      <c r="D52">
        <v>10416</v>
      </c>
      <c r="E52">
        <f t="shared" si="12"/>
        <v>845</v>
      </c>
      <c r="F52" s="10" cm="1">
        <f t="array" ref="F52">als(E52/1000)</f>
        <v>0.45284707070128455</v>
      </c>
      <c r="G52" s="10">
        <f>2/3</f>
        <v>0.66666666666666663</v>
      </c>
      <c r="H52" s="10">
        <v>3.4503388936400201</v>
      </c>
      <c r="I52" s="10">
        <f t="shared" si="10"/>
        <v>0.17315573770491804</v>
      </c>
      <c r="J52" s="31">
        <f t="shared" si="8"/>
        <v>2.3805254736956796</v>
      </c>
      <c r="K52" s="10">
        <f t="shared" si="11"/>
        <v>2.8171899096990294</v>
      </c>
      <c r="L52" s="10">
        <v>3.5477705192787301</v>
      </c>
      <c r="M52" s="10" cm="1">
        <f t="array" ref="M52">(E52+2*D52-10537-VgB(L52)*1000)/4880</f>
        <v>0.2327617739168914</v>
      </c>
      <c r="N52" s="9">
        <f t="shared" si="9"/>
        <v>481.88279904485677</v>
      </c>
    </row>
    <row r="53" spans="1:14" x14ac:dyDescent="0.3">
      <c r="C53" t="s">
        <v>10</v>
      </c>
      <c r="D53">
        <v>10689</v>
      </c>
      <c r="E53" s="33">
        <f t="shared" si="12"/>
        <v>572</v>
      </c>
      <c r="F53" s="10" cm="1">
        <f t="array" ref="F53">als(E53/1000)</f>
        <v>0.62961289484535432</v>
      </c>
      <c r="G53" s="10">
        <f>2/3</f>
        <v>0.66666666666666663</v>
      </c>
      <c r="H53" s="10">
        <v>-0.82740633868774804</v>
      </c>
      <c r="I53" s="10">
        <f t="shared" si="10"/>
        <v>0.11721311475409836</v>
      </c>
      <c r="J53" s="10">
        <f t="shared" si="8"/>
        <v>0.3864285834417433</v>
      </c>
      <c r="K53" s="10">
        <f t="shared" si="11"/>
        <v>0.67557444657647436</v>
      </c>
      <c r="L53" s="10">
        <v>4.3779667163029297</v>
      </c>
      <c r="M53" s="10" cm="1">
        <f t="array" ref="M53">(E53+2*D53-10537-VgB(L53)*1000)/4880</f>
        <v>0.24949941087501556</v>
      </c>
      <c r="N53" s="9">
        <f t="shared" si="9"/>
        <v>11.95076247986918</v>
      </c>
    </row>
    <row r="54" spans="1:14" x14ac:dyDescent="0.3">
      <c r="C54" t="s">
        <v>11</v>
      </c>
      <c r="D54">
        <v>10939</v>
      </c>
      <c r="E54" s="33">
        <f t="shared" si="12"/>
        <v>322</v>
      </c>
      <c r="F54" s="10" cm="1">
        <f t="array" ref="F54">als(E54/1000)</f>
        <v>1</v>
      </c>
      <c r="G54" s="10">
        <f>2/3</f>
        <v>0.66666666666666663</v>
      </c>
      <c r="H54" s="10">
        <v>-0.17064790050334999</v>
      </c>
      <c r="I54" s="10">
        <f t="shared" si="10"/>
        <v>6.5983606557377047E-2</v>
      </c>
      <c r="J54" s="10">
        <f t="shared" si="8"/>
        <v>4.4865363591720574E-2</v>
      </c>
      <c r="K54" s="10">
        <f t="shared" si="11"/>
        <v>0.13933342730348006</v>
      </c>
      <c r="L54" s="10">
        <v>5.1386442490654396</v>
      </c>
      <c r="M54" s="10" cm="1">
        <f t="array" ref="M54">(E54+2*D54-10537-VgB(L54)*1000)/4880</f>
        <v>0.26555254355923547</v>
      </c>
      <c r="N54" s="9">
        <f t="shared" si="9"/>
        <v>0.14403423861554798</v>
      </c>
    </row>
    <row r="55" spans="1:14" x14ac:dyDescent="0.3">
      <c r="A55" s="13" t="s">
        <v>14</v>
      </c>
      <c r="B55" s="13">
        <v>11525</v>
      </c>
      <c r="C55" s="13" t="s">
        <v>3</v>
      </c>
      <c r="D55" s="13">
        <v>9551</v>
      </c>
      <c r="E55" s="13">
        <f>$B$55-D55</f>
        <v>1974</v>
      </c>
      <c r="F55" s="11" cm="1">
        <f t="array" ref="F55">als(E55/1000)</f>
        <v>0.29161667747283365</v>
      </c>
      <c r="G55" s="11">
        <v>0.33333333333333331</v>
      </c>
      <c r="H55" s="11">
        <v>0.25410220262238098</v>
      </c>
      <c r="I55" s="11">
        <f t="shared" si="10"/>
        <v>0.4045081967213115</v>
      </c>
      <c r="J55" s="11">
        <f t="shared" si="8"/>
        <v>0.28959759481918851</v>
      </c>
      <c r="K55" s="11">
        <f t="shared" si="11"/>
        <v>0.14670597508570848</v>
      </c>
      <c r="L55" s="11">
        <v>1.20873770697426</v>
      </c>
      <c r="M55" s="11" cm="1">
        <f t="array" ref="M55">(E55+2*D55-10537-VgB(L55)*1000)/4880</f>
        <v>0.23948271222842532</v>
      </c>
      <c r="N55" s="12">
        <f t="shared" si="9"/>
        <v>10.728447821377886</v>
      </c>
    </row>
    <row r="56" spans="1:14" x14ac:dyDescent="0.3">
      <c r="A56" s="13"/>
      <c r="B56" s="17"/>
      <c r="C56" s="13" t="s">
        <v>4</v>
      </c>
      <c r="D56" s="13">
        <v>10017</v>
      </c>
      <c r="E56" s="13">
        <f t="shared" ref="E56:E62" si="13">$B$55-D56</f>
        <v>1508</v>
      </c>
      <c r="F56" s="11" cm="1">
        <f t="array" ref="F56">als(E56/1000)</f>
        <v>0.3276446635332862</v>
      </c>
      <c r="G56" s="11">
        <v>0.33333333333333331</v>
      </c>
      <c r="H56" s="11">
        <v>0.61246754346576204</v>
      </c>
      <c r="I56" s="11">
        <f t="shared" si="10"/>
        <v>0.30901639344262294</v>
      </c>
      <c r="J56" s="11">
        <f t="shared" si="8"/>
        <v>0.53324131804351871</v>
      </c>
      <c r="K56" s="11">
        <f t="shared" si="11"/>
        <v>0.35360830108986652</v>
      </c>
      <c r="L56" s="11">
        <v>2.4490469895425302</v>
      </c>
      <c r="M56" s="11" cm="1">
        <f t="array" ref="M56">(E56+2*D56-10537-VgB(L56)*1000)/4880</f>
        <v>0.25972381153505175</v>
      </c>
      <c r="N56" s="12">
        <f t="shared" si="9"/>
        <v>31.22047548512128</v>
      </c>
    </row>
    <row r="57" spans="1:14" x14ac:dyDescent="0.3">
      <c r="C57" t="s">
        <v>5</v>
      </c>
      <c r="D57">
        <v>10355</v>
      </c>
      <c r="E57">
        <f t="shared" si="13"/>
        <v>1170</v>
      </c>
      <c r="F57" s="10" cm="1">
        <f t="array" ref="F57">als(E57/1000)</f>
        <v>0.37184800090621012</v>
      </c>
      <c r="G57" s="10">
        <v>0.33333333333333331</v>
      </c>
      <c r="H57" s="10">
        <v>1.5637646932956899</v>
      </c>
      <c r="I57" s="10">
        <f t="shared" si="10"/>
        <v>0.23975409836065573</v>
      </c>
      <c r="J57" s="31">
        <f t="shared" si="8"/>
        <v>1.0563227609494941</v>
      </c>
      <c r="K57" s="10">
        <f t="shared" si="11"/>
        <v>0.90283996662349908</v>
      </c>
      <c r="L57" s="10">
        <v>3.4295530668187899</v>
      </c>
      <c r="M57" s="10" cm="1">
        <f t="array" ref="M57">(E57+2*D57-10537-VgB(L57)*1000)/4880</f>
        <v>0.28004632266180746</v>
      </c>
      <c r="N57" s="9">
        <f t="shared" si="9"/>
        <v>107.87779837143543</v>
      </c>
    </row>
    <row r="58" spans="1:14" x14ac:dyDescent="0.3">
      <c r="C58" t="s">
        <v>6</v>
      </c>
      <c r="D58">
        <v>10643</v>
      </c>
      <c r="E58">
        <f t="shared" si="13"/>
        <v>882</v>
      </c>
      <c r="F58" s="10" cm="1">
        <f t="array" ref="F58">als(E58/1000)</f>
        <v>0.43995850882740428</v>
      </c>
      <c r="G58" s="10">
        <v>0.33333333333333331</v>
      </c>
      <c r="H58" s="10">
        <v>-3.9881885748706098</v>
      </c>
      <c r="I58" s="10">
        <f t="shared" si="10"/>
        <v>0.18073770491803279</v>
      </c>
      <c r="J58" s="31">
        <f t="shared" si="8"/>
        <v>2.0308771011014328</v>
      </c>
      <c r="K58" s="10">
        <f t="shared" si="11"/>
        <v>2.3025817472805366</v>
      </c>
      <c r="L58" s="10">
        <v>4.2872389731671996</v>
      </c>
      <c r="M58" s="10" cm="1">
        <f t="array" ref="M58">(E58+2*D58-10537-VgB(L58)*1000)/4880</f>
        <v>0.29840649698186045</v>
      </c>
      <c r="N58" s="9">
        <f t="shared" si="9"/>
        <v>355.66004437661428</v>
      </c>
    </row>
    <row r="59" spans="1:14" x14ac:dyDescent="0.3">
      <c r="A59" s="13"/>
      <c r="B59" s="13"/>
      <c r="C59" s="13" t="s">
        <v>8</v>
      </c>
      <c r="D59" s="13">
        <v>10106</v>
      </c>
      <c r="E59" s="13">
        <f t="shared" si="13"/>
        <v>1419</v>
      </c>
      <c r="F59" s="11" cm="1">
        <f t="array" ref="F59">als(E59/1000)</f>
        <v>0.33716919612259094</v>
      </c>
      <c r="G59" s="11">
        <f>2/3</f>
        <v>0.66666666666666663</v>
      </c>
      <c r="H59" s="11">
        <v>-0.29786690822704598</v>
      </c>
      <c r="I59" s="11">
        <f t="shared" si="10"/>
        <v>0.29077868852459016</v>
      </c>
      <c r="J59" s="11">
        <f t="shared" si="8"/>
        <v>0.34511117592509311</v>
      </c>
      <c r="K59" s="11">
        <f t="shared" si="11"/>
        <v>0.24320731213889579</v>
      </c>
      <c r="L59" s="11">
        <v>2.6197365527972898</v>
      </c>
      <c r="M59" s="11" cm="1">
        <f t="array" ref="M59">(E59+2*D59-10537-VgB(L59)*1000)/4880</f>
        <v>0.26913297262579056</v>
      </c>
      <c r="N59" s="12">
        <f t="shared" si="9"/>
        <v>12.662977033532567</v>
      </c>
    </row>
    <row r="60" spans="1:14" x14ac:dyDescent="0.3">
      <c r="C60" t="s">
        <v>9</v>
      </c>
      <c r="D60">
        <v>10416</v>
      </c>
      <c r="E60">
        <f t="shared" si="13"/>
        <v>1109</v>
      </c>
      <c r="F60" s="10" cm="1">
        <f t="array" ref="F60">als(E60/1000)</f>
        <v>0.38291613970733168</v>
      </c>
      <c r="G60" s="10">
        <f>2/3</f>
        <v>0.66666666666666663</v>
      </c>
      <c r="H60" s="10">
        <v>-1.43517057429537</v>
      </c>
      <c r="I60" s="10">
        <f t="shared" si="10"/>
        <v>0.22725409836065574</v>
      </c>
      <c r="J60" s="31">
        <f t="shared" si="8"/>
        <v>1.2995393604589178</v>
      </c>
      <c r="K60" s="10">
        <f t="shared" si="11"/>
        <v>1.1718118669602506</v>
      </c>
      <c r="L60" s="10">
        <v>3.5477705192787301</v>
      </c>
      <c r="M60" s="10" cm="1">
        <f t="array" ref="M60">(E60+2*D60-10537-VgB(L60)*1000)/4880</f>
        <v>0.2868601345726291</v>
      </c>
      <c r="N60" s="9">
        <f t="shared" si="9"/>
        <v>159.36816800164559</v>
      </c>
    </row>
    <row r="61" spans="1:14" x14ac:dyDescent="0.3">
      <c r="C61" t="s">
        <v>10</v>
      </c>
      <c r="D61">
        <v>10689</v>
      </c>
      <c r="E61">
        <f t="shared" si="13"/>
        <v>836</v>
      </c>
      <c r="F61" s="10" cm="1">
        <f t="array" ref="F61">als(E61/1000)</f>
        <v>0.45620246596931752</v>
      </c>
      <c r="G61" s="10">
        <f>2/3</f>
        <v>0.66666666666666663</v>
      </c>
      <c r="H61" s="10">
        <v>4.12444159125402</v>
      </c>
      <c r="I61" s="10">
        <f t="shared" si="10"/>
        <v>0.17131147540983607</v>
      </c>
      <c r="J61" s="31">
        <f t="shared" si="8"/>
        <v>2.8153072944658342</v>
      </c>
      <c r="K61" s="10">
        <f t="shared" si="11"/>
        <v>3.3675924574950171</v>
      </c>
      <c r="L61" s="10">
        <v>4.3779667163029297</v>
      </c>
      <c r="M61" s="10" cm="1">
        <f t="array" ref="M61">(E61+2*D61-10537-VgB(L61)*1000)/4880</f>
        <v>0.30359777153075329</v>
      </c>
      <c r="N61" s="9">
        <f t="shared" si="9"/>
        <v>671.74277391103396</v>
      </c>
    </row>
    <row r="62" spans="1:14" x14ac:dyDescent="0.3">
      <c r="C62" t="s">
        <v>11</v>
      </c>
      <c r="D62">
        <v>10939</v>
      </c>
      <c r="E62" s="33">
        <f t="shared" si="13"/>
        <v>586</v>
      </c>
      <c r="F62" s="10" cm="1">
        <f t="array" ref="F62">als(E62/1000)</f>
        <v>0.61392457755520413</v>
      </c>
      <c r="G62" s="10">
        <f>2/3</f>
        <v>0.66666666666666663</v>
      </c>
      <c r="H62" s="10">
        <v>-0.70275045064794295</v>
      </c>
      <c r="I62" s="10">
        <f t="shared" si="10"/>
        <v>0.12008196721311476</v>
      </c>
      <c r="J62" s="10">
        <f t="shared" si="8"/>
        <v>0.33624289735688595</v>
      </c>
      <c r="K62" s="10">
        <f t="shared" si="11"/>
        <v>0.57379334019946404</v>
      </c>
      <c r="L62" s="10">
        <v>5.1386442490654396</v>
      </c>
      <c r="M62" s="10" cm="1">
        <f t="array" ref="M62">(E62+2*D62-10537-VgB(L62)*1000)/4880</f>
        <v>0.31965090421497316</v>
      </c>
      <c r="N62" s="9">
        <f t="shared" si="9"/>
        <v>9.0387080898791297</v>
      </c>
    </row>
    <row r="65" spans="1:2" x14ac:dyDescent="0.3">
      <c r="A65" s="2"/>
      <c r="B65" s="2"/>
    </row>
    <row r="66" spans="1:2" x14ac:dyDescent="0.3">
      <c r="A66" s="2"/>
    </row>
    <row r="67" spans="1:2" x14ac:dyDescent="0.3">
      <c r="A67" s="5"/>
    </row>
  </sheetData>
  <conditionalFormatting sqref="B6:C6 C7:C8"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B10:C10 C11:C12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B40:C40 C41:C42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B44:C44 C45:C46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14:C16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C18:C20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C22:C24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C26:C34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C48:C50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52:C54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56:C58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60:C6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7034-502E-41FD-A83C-9D42A89CBD08}">
  <sheetPr codeName="Full2">
    <pageSetUpPr fitToPage="1"/>
  </sheetPr>
  <dimension ref="A1:W67"/>
  <sheetViews>
    <sheetView topLeftCell="A43" zoomScale="96" zoomScaleNormal="90" workbookViewId="0">
      <selection activeCell="P3" sqref="P3"/>
    </sheetView>
  </sheetViews>
  <sheetFormatPr defaultRowHeight="14.4" x14ac:dyDescent="0.3"/>
  <cols>
    <col min="1" max="1" width="7" bestFit="1" customWidth="1"/>
    <col min="2" max="2" width="8.109375" bestFit="1" customWidth="1"/>
    <col min="3" max="3" width="6.33203125" bestFit="1" customWidth="1"/>
    <col min="4" max="5" width="6" bestFit="1" customWidth="1"/>
    <col min="6" max="6" width="7.77734375" bestFit="1" customWidth="1"/>
    <col min="7" max="7" width="10.6640625" customWidth="1"/>
    <col min="8" max="8" width="9.6640625" customWidth="1"/>
    <col min="9" max="9" width="9.44140625" bestFit="1" customWidth="1"/>
    <col min="10" max="10" width="10" bestFit="1" customWidth="1"/>
    <col min="11" max="12" width="7.109375" customWidth="1"/>
    <col min="13" max="13" width="8.77734375" bestFit="1" customWidth="1"/>
    <col min="14" max="14" width="8.109375" bestFit="1" customWidth="1"/>
    <col min="15" max="15" width="9.21875" customWidth="1"/>
    <col min="16" max="16" width="7.77734375" customWidth="1"/>
  </cols>
  <sheetData>
    <row r="1" spans="1:23" x14ac:dyDescent="0.3">
      <c r="A1" t="s">
        <v>43</v>
      </c>
      <c r="G1" s="40" t="s">
        <v>104</v>
      </c>
      <c r="H1" s="5"/>
      <c r="I1" s="5" t="s">
        <v>102</v>
      </c>
      <c r="J1" s="5"/>
      <c r="K1" s="6" t="s">
        <v>101</v>
      </c>
      <c r="L1" s="5" t="s">
        <v>103</v>
      </c>
      <c r="M1" s="6"/>
    </row>
    <row r="2" spans="1:23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</row>
    <row r="3" spans="1:23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46</v>
      </c>
      <c r="H3" s="1" t="s">
        <v>7</v>
      </c>
      <c r="I3" s="1" t="s">
        <v>67</v>
      </c>
      <c r="J3" s="1" t="s">
        <v>93</v>
      </c>
      <c r="K3" s="27" t="s">
        <v>73</v>
      </c>
      <c r="L3" s="27" t="s">
        <v>74</v>
      </c>
      <c r="M3" s="27" t="s">
        <v>78</v>
      </c>
      <c r="N3" s="1" t="s">
        <v>38</v>
      </c>
    </row>
    <row r="4" spans="1:23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27" t="s">
        <v>95</v>
      </c>
      <c r="L4" s="27" t="s">
        <v>95</v>
      </c>
      <c r="M4" s="27"/>
      <c r="N4" s="1" t="s">
        <v>34</v>
      </c>
      <c r="S4" s="46"/>
      <c r="T4" s="46"/>
      <c r="U4" s="46"/>
      <c r="V4" s="46"/>
    </row>
    <row r="5" spans="1:23" x14ac:dyDescent="0.3">
      <c r="A5" t="s">
        <v>16</v>
      </c>
      <c r="B5">
        <v>4171</v>
      </c>
      <c r="C5" t="s">
        <v>3</v>
      </c>
      <c r="D5">
        <v>3068</v>
      </c>
      <c r="E5">
        <f t="shared" ref="E5:E9" si="0">$B$5-D5</f>
        <v>1103</v>
      </c>
      <c r="F5" s="3" cm="1">
        <f t="array" ref="F5">als(E5/1000)</f>
        <v>0.3840783215058699</v>
      </c>
      <c r="G5" s="3">
        <v>0.33333333333333331</v>
      </c>
      <c r="H5" s="3">
        <v>2.05809189582259</v>
      </c>
      <c r="I5" s="3">
        <f>E5/1470</f>
        <v>0.75034013605442174</v>
      </c>
      <c r="J5" s="47">
        <f>SQRT(G5)*ABS(H5/1000)*E5</f>
        <v>1.3106286208073858</v>
      </c>
      <c r="K5" s="3">
        <f>SQRT(G5)*ABS(H5/1000)*1000</f>
        <v>1.1882399100701595</v>
      </c>
      <c r="L5" s="10">
        <v>2.0555394826094102</v>
      </c>
      <c r="M5" s="3" cm="1">
        <f t="array" ref="M5">(E5+2*D5-3712-VgC(L5)*1000)/1470</f>
        <v>0.48831066731673878</v>
      </c>
      <c r="N5" s="9">
        <f t="shared" ref="N5:N27" si="1">(4/3)*F5*(1/3)*(1/2)*E5^3*G5*(H5/1000)^2</f>
        <v>161.71194062946418</v>
      </c>
      <c r="O5" s="10"/>
      <c r="P5" s="10"/>
      <c r="Q5" s="10"/>
      <c r="R5" s="10"/>
      <c r="S5" s="10"/>
      <c r="T5" s="10"/>
      <c r="U5" s="10"/>
      <c r="V5" s="10"/>
      <c r="W5" s="7"/>
    </row>
    <row r="6" spans="1:23" x14ac:dyDescent="0.3">
      <c r="B6" s="2"/>
      <c r="C6" t="s">
        <v>4</v>
      </c>
      <c r="D6">
        <v>3674</v>
      </c>
      <c r="E6" s="33">
        <f t="shared" si="0"/>
        <v>497</v>
      </c>
      <c r="F6" s="3" cm="1">
        <f t="array" ref="F6">als(E6/1000)</f>
        <v>0.74358018063885567</v>
      </c>
      <c r="G6" s="3">
        <v>0.33333333333333331</v>
      </c>
      <c r="H6" s="3">
        <v>-3.4227347798686401</v>
      </c>
      <c r="I6" s="3">
        <f t="shared" ref="I6:I27" si="2">E6/1470</f>
        <v>0.33809523809523812</v>
      </c>
      <c r="J6" s="3">
        <f t="shared" ref="J6:J27" si="3">SQRT(G6)*ABS(H6/1000)*E6</f>
        <v>0.98213007272136121</v>
      </c>
      <c r="K6" s="3">
        <f t="shared" ref="K6:K27" si="4">SQRT(G6)*ABS(H6/1000)*1000</f>
        <v>1.9761168465218535</v>
      </c>
      <c r="L6" s="10">
        <v>3.83841691381935</v>
      </c>
      <c r="M6" s="3" cm="1">
        <f t="array" ref="M6">(E6+2*D6-3712-VgC(L6)*1000)/1470</f>
        <v>0.60290213641656998</v>
      </c>
      <c r="N6" s="9">
        <f t="shared" si="1"/>
        <v>79.215414520622105</v>
      </c>
      <c r="O6" s="10"/>
      <c r="P6" s="10"/>
      <c r="Q6" s="10"/>
      <c r="R6" s="10"/>
      <c r="S6" s="10"/>
      <c r="T6" s="10"/>
      <c r="U6" s="10"/>
      <c r="V6" s="10"/>
      <c r="W6" s="7"/>
    </row>
    <row r="7" spans="1:23" x14ac:dyDescent="0.3">
      <c r="C7" t="s">
        <v>5</v>
      </c>
      <c r="D7">
        <v>4149</v>
      </c>
      <c r="E7" s="33">
        <f t="shared" si="0"/>
        <v>22</v>
      </c>
      <c r="F7" s="3" cm="1">
        <f t="array" ref="F7">als(E7/1000)</f>
        <v>1E-4</v>
      </c>
      <c r="G7" s="3">
        <v>0.33333333333333331</v>
      </c>
      <c r="H7" s="3">
        <v>1.1108748084046201</v>
      </c>
      <c r="I7" s="3">
        <f t="shared" si="2"/>
        <v>1.4965986394557823E-2</v>
      </c>
      <c r="J7" s="3">
        <f t="shared" si="3"/>
        <v>1.4110005132704389E-2</v>
      </c>
      <c r="K7" s="3">
        <f t="shared" si="4"/>
        <v>0.64136386966838133</v>
      </c>
      <c r="L7" s="10">
        <v>5.2712641073307598</v>
      </c>
      <c r="M7" s="3" cm="1">
        <f t="array" ref="M7">(E7+2*D7-3712-VgC(L7)*1000)/1470</f>
        <v>0.70490346442307805</v>
      </c>
      <c r="N7" s="9">
        <f t="shared" si="1"/>
        <v>9.7333986368639398E-8</v>
      </c>
      <c r="O7" s="10"/>
      <c r="P7" s="10"/>
      <c r="Q7" s="10"/>
      <c r="R7" s="10"/>
      <c r="S7" s="10"/>
      <c r="T7" s="10"/>
      <c r="U7" s="10"/>
      <c r="V7" s="10"/>
      <c r="W7" s="7"/>
    </row>
    <row r="8" spans="1:23" x14ac:dyDescent="0.3">
      <c r="C8" t="s">
        <v>6</v>
      </c>
      <c r="D8">
        <v>4562</v>
      </c>
      <c r="E8" s="33"/>
      <c r="F8" s="3"/>
      <c r="G8" s="3"/>
      <c r="H8" s="3"/>
      <c r="I8" s="3"/>
      <c r="J8" s="3"/>
      <c r="K8" s="3"/>
      <c r="L8" s="10"/>
      <c r="M8" s="3"/>
      <c r="N8" s="9"/>
      <c r="O8" s="10"/>
      <c r="P8" s="10"/>
      <c r="Q8" s="10"/>
      <c r="R8" s="10"/>
      <c r="S8" s="10"/>
      <c r="T8" s="10"/>
      <c r="U8" s="10"/>
      <c r="V8" s="10"/>
      <c r="W8" s="7"/>
    </row>
    <row r="9" spans="1:23" x14ac:dyDescent="0.3">
      <c r="C9" t="s">
        <v>8</v>
      </c>
      <c r="D9">
        <v>3762</v>
      </c>
      <c r="E9" s="33">
        <f t="shared" si="0"/>
        <v>409</v>
      </c>
      <c r="F9" s="3" cm="1">
        <f t="array" ref="F9">als(E9/1000)</f>
        <v>1</v>
      </c>
      <c r="G9" s="3">
        <f>2/3</f>
        <v>0.66666666666666663</v>
      </c>
      <c r="H9" s="3">
        <v>3.9854590773957401</v>
      </c>
      <c r="I9" s="3">
        <f t="shared" si="2"/>
        <v>0.27823129251700679</v>
      </c>
      <c r="J9" s="3">
        <f t="shared" si="3"/>
        <v>1.3309325074394855</v>
      </c>
      <c r="K9" s="3">
        <f t="shared" si="4"/>
        <v>3.2541137101209916</v>
      </c>
      <c r="L9" s="10">
        <v>4.04512267054809</v>
      </c>
      <c r="M9" s="3" cm="1">
        <f t="array" ref="M9">(E9+2*D9-3712-VgC(L9)*1000)/1470</f>
        <v>0.6303600923892565</v>
      </c>
      <c r="N9" s="9">
        <f t="shared" si="1"/>
        <v>160.9988817328655</v>
      </c>
      <c r="O9" s="10"/>
      <c r="P9" s="10"/>
      <c r="Q9" s="10"/>
      <c r="R9" s="10"/>
      <c r="S9" s="10"/>
      <c r="T9" s="10"/>
      <c r="U9" s="10"/>
      <c r="V9" s="10"/>
      <c r="W9" s="7"/>
    </row>
    <row r="10" spans="1:23" x14ac:dyDescent="0.3">
      <c r="B10" s="2"/>
      <c r="C10" t="s">
        <v>9</v>
      </c>
      <c r="D10">
        <v>4209</v>
      </c>
      <c r="E10" s="33"/>
      <c r="F10" s="3"/>
      <c r="G10" s="3"/>
      <c r="H10" s="3"/>
      <c r="I10" s="3"/>
      <c r="J10" s="3"/>
      <c r="K10" s="3"/>
      <c r="L10" s="10"/>
      <c r="M10" s="3"/>
      <c r="N10" s="9"/>
      <c r="O10" s="10"/>
      <c r="P10" s="10"/>
      <c r="Q10" s="10"/>
      <c r="R10" s="10"/>
      <c r="S10" s="10"/>
      <c r="T10" s="10"/>
      <c r="U10" s="10"/>
      <c r="V10" s="10"/>
      <c r="W10" s="7"/>
    </row>
    <row r="11" spans="1:23" x14ac:dyDescent="0.3">
      <c r="C11" t="s">
        <v>10</v>
      </c>
      <c r="D11">
        <v>4608</v>
      </c>
      <c r="E11" s="33"/>
      <c r="F11" s="3"/>
      <c r="G11" s="3"/>
      <c r="H11" s="3"/>
      <c r="I11" s="3"/>
      <c r="J11" s="3"/>
      <c r="K11" s="3"/>
      <c r="L11" s="10"/>
      <c r="M11" s="3"/>
      <c r="N11" s="9"/>
      <c r="O11" s="10"/>
      <c r="P11" s="10"/>
      <c r="Q11" s="10"/>
      <c r="R11" s="10"/>
      <c r="S11" s="10"/>
      <c r="T11" s="10"/>
      <c r="U11" s="10"/>
      <c r="V11" s="10"/>
      <c r="W11" s="7"/>
    </row>
    <row r="12" spans="1:23" x14ac:dyDescent="0.3">
      <c r="C12" t="s">
        <v>11</v>
      </c>
      <c r="D12">
        <v>4974</v>
      </c>
      <c r="E12" s="33"/>
      <c r="F12" s="3"/>
      <c r="G12" s="3"/>
      <c r="H12" s="3"/>
      <c r="I12" s="3"/>
      <c r="J12" s="3"/>
      <c r="K12" s="3"/>
      <c r="L12" s="10"/>
      <c r="M12" s="3"/>
      <c r="N12" s="9"/>
      <c r="O12" s="10"/>
      <c r="P12" s="10"/>
      <c r="Q12" s="10"/>
      <c r="R12" s="10"/>
      <c r="S12" s="10"/>
      <c r="T12" s="10"/>
      <c r="U12" s="10"/>
      <c r="V12" s="10"/>
      <c r="W12" s="7"/>
    </row>
    <row r="13" spans="1:23" x14ac:dyDescent="0.3">
      <c r="A13" s="13" t="s">
        <v>17</v>
      </c>
      <c r="B13" s="13">
        <v>4556</v>
      </c>
      <c r="C13" s="13" t="s">
        <v>3</v>
      </c>
      <c r="D13" s="13">
        <v>3068</v>
      </c>
      <c r="E13" s="13">
        <f t="shared" ref="E13:E18" si="5">$B$13-D13</f>
        <v>1488</v>
      </c>
      <c r="F13" s="15" cm="1">
        <f t="array" ref="F13">als(E13/1000)</f>
        <v>0.32968476646844586</v>
      </c>
      <c r="G13" s="15">
        <v>0.33333333333333331</v>
      </c>
      <c r="H13" s="15">
        <v>0.81627742907018397</v>
      </c>
      <c r="I13" s="15">
        <f t="shared" si="2"/>
        <v>1.0122448979591836</v>
      </c>
      <c r="J13" s="15">
        <f t="shared" si="3"/>
        <v>0.7012616541897444</v>
      </c>
      <c r="K13" s="15">
        <f t="shared" si="4"/>
        <v>0.47127799340708626</v>
      </c>
      <c r="L13" s="11">
        <v>2.0555394826094102</v>
      </c>
      <c r="M13" s="15" cm="1">
        <f t="array" ref="M13">(E13+2*D13-3712-VgC(L13)*1000)/1470</f>
        <v>0.75021542922150064</v>
      </c>
      <c r="N13" s="12">
        <f t="shared" si="1"/>
        <v>53.61045356122402</v>
      </c>
      <c r="O13" s="10"/>
      <c r="P13" s="10"/>
      <c r="Q13" s="10"/>
      <c r="R13" s="10"/>
      <c r="S13" s="10"/>
      <c r="T13" s="10"/>
      <c r="U13" s="10"/>
      <c r="V13" s="10"/>
      <c r="W13" s="7"/>
    </row>
    <row r="14" spans="1:23" x14ac:dyDescent="0.3">
      <c r="B14" s="2"/>
      <c r="C14" t="s">
        <v>4</v>
      </c>
      <c r="D14">
        <v>3674</v>
      </c>
      <c r="E14">
        <f t="shared" si="5"/>
        <v>882</v>
      </c>
      <c r="F14" s="3" cm="1">
        <f t="array" ref="F14">als(E14/1000)</f>
        <v>0.43995850882740428</v>
      </c>
      <c r="G14" s="3">
        <v>0.33333333333333331</v>
      </c>
      <c r="H14" s="3">
        <v>2.1123090882268198</v>
      </c>
      <c r="I14" s="3">
        <f t="shared" si="2"/>
        <v>0.6</v>
      </c>
      <c r="J14" s="47">
        <f t="shared" si="3"/>
        <v>1.0756362386569125</v>
      </c>
      <c r="K14" s="3">
        <f t="shared" si="4"/>
        <v>1.2195422206994473</v>
      </c>
      <c r="L14" s="10">
        <v>3.83841691381935</v>
      </c>
      <c r="M14" s="3" cm="1">
        <f t="array" ref="M14">(E14+2*D14-3712-VgC(L14)*1000)/1470</f>
        <v>0.86480689832133195</v>
      </c>
      <c r="N14" s="9">
        <f t="shared" si="1"/>
        <v>99.769694754878714</v>
      </c>
      <c r="O14" s="10"/>
      <c r="P14" s="10"/>
      <c r="Q14" s="10"/>
      <c r="R14" s="10"/>
      <c r="S14" s="10"/>
      <c r="T14" s="10"/>
      <c r="U14" s="10"/>
      <c r="V14" s="10"/>
      <c r="W14" s="7"/>
    </row>
    <row r="15" spans="1:23" x14ac:dyDescent="0.3">
      <c r="C15" t="s">
        <v>5</v>
      </c>
      <c r="D15">
        <v>4149</v>
      </c>
      <c r="E15" s="33">
        <f t="shared" si="5"/>
        <v>407</v>
      </c>
      <c r="F15" s="3" cm="1">
        <f t="array" ref="F15">als(E15/1000)</f>
        <v>1</v>
      </c>
      <c r="G15" s="3">
        <v>0.33333333333333331</v>
      </c>
      <c r="H15" s="3">
        <v>-4.9898323530555402</v>
      </c>
      <c r="I15" s="3">
        <f t="shared" si="2"/>
        <v>0.27687074829931974</v>
      </c>
      <c r="J15" s="3">
        <f t="shared" si="3"/>
        <v>1.1725185882648219</v>
      </c>
      <c r="K15" s="3">
        <f t="shared" si="4"/>
        <v>2.8808810522477195</v>
      </c>
      <c r="L15" s="10">
        <v>5.2712641073307598</v>
      </c>
      <c r="M15" s="3" cm="1">
        <f t="array" ref="M15">(E15+2*D15-3712-VgC(L15)*1000)/1470</f>
        <v>0.96680822632783991</v>
      </c>
      <c r="N15" s="9">
        <f t="shared" si="1"/>
        <v>124.34300773542178</v>
      </c>
      <c r="O15" s="10"/>
      <c r="P15" s="10"/>
      <c r="Q15" s="10"/>
      <c r="R15" s="10"/>
      <c r="S15" s="10"/>
      <c r="T15" s="10"/>
      <c r="U15" s="10"/>
      <c r="V15" s="10"/>
      <c r="W15" s="7"/>
    </row>
    <row r="16" spans="1:23" x14ac:dyDescent="0.3">
      <c r="C16" t="s">
        <v>6</v>
      </c>
      <c r="D16">
        <v>4562</v>
      </c>
      <c r="E16" s="33"/>
      <c r="F16" s="3"/>
      <c r="G16" s="3"/>
      <c r="H16" s="3"/>
      <c r="I16" s="3"/>
      <c r="J16" s="3"/>
      <c r="K16" s="3"/>
      <c r="L16" s="10"/>
      <c r="M16" s="3"/>
      <c r="N16" s="9"/>
      <c r="O16" s="10"/>
      <c r="P16" s="10"/>
      <c r="Q16" s="10"/>
      <c r="R16" s="10"/>
      <c r="S16" s="10"/>
      <c r="T16" s="10"/>
      <c r="U16" s="10"/>
      <c r="V16" s="10"/>
      <c r="W16" s="7"/>
    </row>
    <row r="17" spans="1:23" x14ac:dyDescent="0.3">
      <c r="C17" t="s">
        <v>8</v>
      </c>
      <c r="D17">
        <v>3762</v>
      </c>
      <c r="E17" s="33">
        <f t="shared" si="5"/>
        <v>794</v>
      </c>
      <c r="F17" s="3" cm="1">
        <f t="array" ref="F17">als(E17/1000)</f>
        <v>0.47318089493118731</v>
      </c>
      <c r="G17" s="3">
        <f>2/3</f>
        <v>0.66666666666666663</v>
      </c>
      <c r="H17" s="3">
        <v>-1.2630835949560999</v>
      </c>
      <c r="I17" s="3">
        <f t="shared" si="2"/>
        <v>0.54013605442176871</v>
      </c>
      <c r="J17" s="3">
        <f t="shared" si="3"/>
        <v>0.81885492874579968</v>
      </c>
      <c r="K17" s="3">
        <f t="shared" si="4"/>
        <v>1.0313034367075562</v>
      </c>
      <c r="L17" s="10">
        <v>4.04512267054809</v>
      </c>
      <c r="M17" s="3" cm="1">
        <f t="array" ref="M17">(E17+2*D17-3712-VgC(L17)*1000)/1470</f>
        <v>0.89226485429401836</v>
      </c>
      <c r="N17" s="9">
        <f t="shared" si="1"/>
        <v>55.98209215172654</v>
      </c>
      <c r="O17" s="10"/>
      <c r="P17" s="10"/>
      <c r="Q17" s="10"/>
      <c r="R17" s="10"/>
      <c r="S17" s="10"/>
      <c r="T17" s="10"/>
      <c r="U17" s="10"/>
      <c r="V17" s="10"/>
      <c r="W17" s="7"/>
    </row>
    <row r="18" spans="1:23" x14ac:dyDescent="0.3">
      <c r="B18" s="2"/>
      <c r="C18" t="s">
        <v>9</v>
      </c>
      <c r="D18">
        <v>4209</v>
      </c>
      <c r="E18" s="33">
        <f t="shared" si="5"/>
        <v>347</v>
      </c>
      <c r="F18" s="3" cm="1">
        <f t="array" ref="F18">als(E18/1000)</f>
        <v>1</v>
      </c>
      <c r="G18" s="3">
        <f>2/3</f>
        <v>0.66666666666666663</v>
      </c>
      <c r="H18" s="3">
        <v>5.3428967642545002</v>
      </c>
      <c r="I18" s="3">
        <f t="shared" si="2"/>
        <v>0.23605442176870747</v>
      </c>
      <c r="J18" s="3">
        <f t="shared" si="3"/>
        <v>1.5137725582714729</v>
      </c>
      <c r="K18" s="3">
        <f t="shared" si="4"/>
        <v>4.3624569402636109</v>
      </c>
      <c r="L18" s="10">
        <v>5.41104700682118</v>
      </c>
      <c r="M18" s="3" cm="1">
        <f t="array" ref="M18">(E18+2*D18-3712-VgC(L18)*1000)/1470</f>
        <v>0.98638000117958857</v>
      </c>
      <c r="N18" s="9">
        <f t="shared" si="1"/>
        <v>176.70067850821968</v>
      </c>
      <c r="O18" s="10"/>
      <c r="P18" s="10"/>
      <c r="Q18" s="10"/>
      <c r="R18" s="10"/>
      <c r="S18" s="10"/>
      <c r="T18" s="10"/>
      <c r="U18" s="10"/>
      <c r="V18" s="10"/>
      <c r="W18" s="7"/>
    </row>
    <row r="19" spans="1:23" x14ac:dyDescent="0.3">
      <c r="C19" t="s">
        <v>10</v>
      </c>
      <c r="D19">
        <v>4608</v>
      </c>
      <c r="E19" s="33"/>
      <c r="F19" s="3"/>
      <c r="G19" s="3"/>
      <c r="H19" s="3"/>
      <c r="I19" s="3"/>
      <c r="J19" s="3"/>
      <c r="K19" s="3"/>
      <c r="L19" s="10"/>
      <c r="M19" s="3"/>
      <c r="N19" s="9"/>
      <c r="O19" s="10"/>
      <c r="P19" s="10"/>
      <c r="Q19" s="10"/>
      <c r="R19" s="10"/>
      <c r="S19" s="10"/>
      <c r="T19" s="10"/>
      <c r="U19" s="10"/>
      <c r="V19" s="10"/>
      <c r="W19" s="7"/>
    </row>
    <row r="20" spans="1:23" x14ac:dyDescent="0.3">
      <c r="C20" t="s">
        <v>11</v>
      </c>
      <c r="D20">
        <v>4974</v>
      </c>
      <c r="E20" s="33"/>
      <c r="F20" s="3"/>
      <c r="G20" s="3"/>
      <c r="H20" s="3"/>
      <c r="I20" s="3"/>
      <c r="J20" s="3"/>
      <c r="K20" s="3"/>
      <c r="L20" s="10"/>
      <c r="M20" s="3"/>
      <c r="N20" s="9"/>
      <c r="O20" s="10"/>
      <c r="P20" s="10"/>
      <c r="Q20" s="10"/>
      <c r="R20" s="10"/>
      <c r="S20" s="10"/>
      <c r="T20" s="10"/>
      <c r="U20" s="10"/>
      <c r="V20" s="10"/>
      <c r="W20" s="7"/>
    </row>
    <row r="21" spans="1:23" x14ac:dyDescent="0.3">
      <c r="A21" s="13" t="s">
        <v>18</v>
      </c>
      <c r="B21" s="13">
        <v>4912</v>
      </c>
      <c r="C21" s="13" t="s">
        <v>3</v>
      </c>
      <c r="D21" s="13">
        <v>3068</v>
      </c>
      <c r="E21" s="13">
        <f t="shared" ref="E21:E27" si="6">$B$21-D21</f>
        <v>1844</v>
      </c>
      <c r="F21" s="15" cm="1">
        <f t="array" ref="F21">als(E21/1000)</f>
        <v>0.29990398934882972</v>
      </c>
      <c r="G21" s="15">
        <v>0.33333333333333331</v>
      </c>
      <c r="H21" s="15">
        <v>0.39617955246169501</v>
      </c>
      <c r="I21" s="15">
        <f t="shared" si="2"/>
        <v>1.254421768707483</v>
      </c>
      <c r="J21" s="15">
        <f t="shared" si="3"/>
        <v>0.42178618060562528</v>
      </c>
      <c r="K21" s="15">
        <f t="shared" si="4"/>
        <v>0.22873437126118507</v>
      </c>
      <c r="L21" s="11">
        <v>2.0555394826094102</v>
      </c>
      <c r="M21" s="15" cm="1">
        <f t="array" ref="M21">(E21+2*D21-3712-VgC(L21)*1000)/1470</f>
        <v>0.99239229996979994</v>
      </c>
      <c r="N21" s="12">
        <f t="shared" si="1"/>
        <v>21.863281099428118</v>
      </c>
      <c r="O21" s="10"/>
      <c r="P21" s="10"/>
      <c r="Q21" s="10"/>
      <c r="R21" s="10"/>
      <c r="S21" s="10"/>
      <c r="T21" s="10"/>
      <c r="U21" s="10"/>
      <c r="V21" s="10"/>
      <c r="W21" s="7"/>
    </row>
    <row r="22" spans="1:23" x14ac:dyDescent="0.3">
      <c r="A22" s="13"/>
      <c r="B22" s="17"/>
      <c r="C22" s="13" t="s">
        <v>4</v>
      </c>
      <c r="D22" s="13">
        <v>3674</v>
      </c>
      <c r="E22" s="13">
        <f t="shared" si="6"/>
        <v>1238</v>
      </c>
      <c r="F22" s="15" cm="1">
        <f t="array" ref="F22">als(E22/1000)</f>
        <v>0.36090720637054535</v>
      </c>
      <c r="G22" s="15">
        <v>0.33333333333333331</v>
      </c>
      <c r="H22" s="15">
        <v>0.98849767100366803</v>
      </c>
      <c r="I22" s="15">
        <f t="shared" si="2"/>
        <v>0.84217687074829928</v>
      </c>
      <c r="J22" s="15">
        <f t="shared" si="3"/>
        <v>0.70653823280173988</v>
      </c>
      <c r="K22" s="15">
        <f t="shared" si="4"/>
        <v>0.57070939644728591</v>
      </c>
      <c r="L22" s="11">
        <v>3.83841691381935</v>
      </c>
      <c r="M22" s="15" cm="1">
        <f t="array" ref="M22">(E22+2*D22-3712-VgC(L22)*1000)/1470</f>
        <v>1.1069837690696311</v>
      </c>
      <c r="N22" s="12">
        <f t="shared" si="1"/>
        <v>49.564989698046084</v>
      </c>
      <c r="O22" s="10"/>
      <c r="P22" s="10"/>
      <c r="Q22" s="10"/>
      <c r="R22" s="10"/>
      <c r="S22" s="10"/>
      <c r="T22" s="10"/>
      <c r="U22" s="10"/>
      <c r="V22" s="10"/>
      <c r="W22" s="7"/>
    </row>
    <row r="23" spans="1:23" x14ac:dyDescent="0.3">
      <c r="C23" t="s">
        <v>5</v>
      </c>
      <c r="D23">
        <v>4149</v>
      </c>
      <c r="E23" s="33">
        <f t="shared" si="6"/>
        <v>763</v>
      </c>
      <c r="F23" s="3" cm="1">
        <f t="array" ref="F23">als(E23/1000)</f>
        <v>0.48732602668365177</v>
      </c>
      <c r="G23" s="3">
        <v>0.33333333333333331</v>
      </c>
      <c r="H23" s="3">
        <v>2.2412166119383201</v>
      </c>
      <c r="I23" s="3">
        <f t="shared" si="2"/>
        <v>0.51904761904761909</v>
      </c>
      <c r="J23" s="3">
        <f t="shared" si="3"/>
        <v>0.98729683184593053</v>
      </c>
      <c r="K23" s="3">
        <f t="shared" si="4"/>
        <v>1.2939670142148501</v>
      </c>
      <c r="L23" s="10">
        <v>5.2712641073307598</v>
      </c>
      <c r="M23" s="3" cm="1">
        <f t="array" ref="M23">(E23+2*D23-3712-VgC(L23)*1000)/1470</f>
        <v>1.2089850970761393</v>
      </c>
      <c r="N23" s="9">
        <f t="shared" si="1"/>
        <v>80.542873070306726</v>
      </c>
      <c r="O23" s="10"/>
      <c r="P23" s="10"/>
      <c r="Q23" s="10"/>
      <c r="R23" s="10"/>
      <c r="S23" s="10"/>
      <c r="T23" s="10"/>
      <c r="U23" s="10"/>
      <c r="V23" s="10"/>
      <c r="W23" s="7"/>
    </row>
    <row r="24" spans="1:23" x14ac:dyDescent="0.3">
      <c r="C24" t="s">
        <v>6</v>
      </c>
      <c r="D24">
        <v>4562</v>
      </c>
      <c r="E24" s="33">
        <f t="shared" si="6"/>
        <v>350</v>
      </c>
      <c r="F24" s="3" cm="1">
        <f t="array" ref="F24">als(E24/1000)</f>
        <v>1</v>
      </c>
      <c r="G24" s="3">
        <v>0.33333333333333331</v>
      </c>
      <c r="H24" s="3">
        <v>-6.2777803987533698</v>
      </c>
      <c r="I24" s="3">
        <f t="shared" si="2"/>
        <v>0.23809523809523808</v>
      </c>
      <c r="J24" s="3">
        <f t="shared" si="3"/>
        <v>1.2685673710967649</v>
      </c>
      <c r="K24" s="3">
        <f t="shared" si="4"/>
        <v>3.6244782031336142</v>
      </c>
      <c r="L24" s="10">
        <v>6.5276697104515504</v>
      </c>
      <c r="M24" s="3" cm="1">
        <f t="array" ref="M24">(E24+2*D24-3712-VgC(L24)*1000)/1470</f>
        <v>1.3002160397075042</v>
      </c>
      <c r="N24" s="9">
        <f t="shared" si="1"/>
        <v>125.16491361199448</v>
      </c>
      <c r="O24" s="10"/>
      <c r="P24" s="10"/>
      <c r="Q24" s="10"/>
      <c r="R24" s="10"/>
      <c r="S24" s="10"/>
      <c r="T24" s="10"/>
      <c r="U24" s="10"/>
      <c r="V24" s="10"/>
      <c r="W24" s="7"/>
    </row>
    <row r="25" spans="1:23" x14ac:dyDescent="0.3">
      <c r="A25" s="13"/>
      <c r="B25" s="13"/>
      <c r="C25" s="13" t="s">
        <v>8</v>
      </c>
      <c r="D25" s="13">
        <v>3762</v>
      </c>
      <c r="E25" s="13">
        <f t="shared" si="6"/>
        <v>1150</v>
      </c>
      <c r="F25" s="15" cm="1">
        <f t="array" ref="F25">als(E25/1000)</f>
        <v>0.37533431221179742</v>
      </c>
      <c r="G25" s="15">
        <f>2/3</f>
        <v>0.66666666666666663</v>
      </c>
      <c r="H25" s="15">
        <v>-0.46226652913532301</v>
      </c>
      <c r="I25" s="15">
        <f t="shared" si="2"/>
        <v>0.78231292517006801</v>
      </c>
      <c r="J25" s="15">
        <f t="shared" si="3"/>
        <v>0.43405489659376606</v>
      </c>
      <c r="K25" s="15">
        <f t="shared" si="4"/>
        <v>0.37743904051631832</v>
      </c>
      <c r="L25" s="11">
        <v>4.04512267054809</v>
      </c>
      <c r="M25" s="15" cm="1">
        <f t="array" ref="M25">(E25+2*D25-3712-VgC(L25)*1000)/1470</f>
        <v>1.1344417250423178</v>
      </c>
      <c r="N25" s="12">
        <f t="shared" si="1"/>
        <v>18.071446434539492</v>
      </c>
      <c r="O25" s="10"/>
      <c r="P25" s="10"/>
      <c r="Q25" s="10"/>
      <c r="R25" s="10"/>
      <c r="S25" s="10"/>
      <c r="T25" s="10"/>
      <c r="U25" s="10"/>
      <c r="V25" s="10"/>
      <c r="W25" s="7"/>
    </row>
    <row r="26" spans="1:23" x14ac:dyDescent="0.3">
      <c r="C26" t="s">
        <v>9</v>
      </c>
      <c r="D26">
        <v>4209</v>
      </c>
      <c r="E26" s="33">
        <f t="shared" si="6"/>
        <v>703</v>
      </c>
      <c r="F26" s="3" cm="1">
        <f t="array" ref="F26">als(E26/1000)</f>
        <v>0.51972944165053203</v>
      </c>
      <c r="G26" s="3">
        <f>2/3</f>
        <v>0.66666666666666663</v>
      </c>
      <c r="H26" s="3">
        <v>-1.7059505639096999</v>
      </c>
      <c r="I26" s="3">
        <f t="shared" si="2"/>
        <v>0.4782312925170068</v>
      </c>
      <c r="J26" s="3">
        <f t="shared" si="3"/>
        <v>0.9792106702727893</v>
      </c>
      <c r="K26" s="3">
        <f t="shared" si="4"/>
        <v>1.3929028026639962</v>
      </c>
      <c r="L26" s="10">
        <v>5.41104700682118</v>
      </c>
      <c r="M26" s="3" cm="1">
        <f t="array" ref="M26">(E26+2*D26-3712-VgC(L26)*1000)/1470</f>
        <v>1.2285568719278879</v>
      </c>
      <c r="N26" s="9">
        <f t="shared" si="1"/>
        <v>77.852471676704582</v>
      </c>
      <c r="O26" s="10"/>
      <c r="P26" s="10"/>
      <c r="Q26" s="10"/>
      <c r="R26" s="10"/>
      <c r="S26" s="10"/>
      <c r="T26" s="10"/>
      <c r="U26" s="10"/>
      <c r="V26" s="10"/>
      <c r="W26" s="7"/>
    </row>
    <row r="27" spans="1:23" x14ac:dyDescent="0.3">
      <c r="C27" t="s">
        <v>10</v>
      </c>
      <c r="D27">
        <v>4608</v>
      </c>
      <c r="E27" s="33">
        <f t="shared" si="6"/>
        <v>304</v>
      </c>
      <c r="F27" s="3" cm="1">
        <f t="array" ref="F27">als(E27/1000)</f>
        <v>1</v>
      </c>
      <c r="G27" s="3">
        <f>2/3</f>
        <v>0.66666666666666663</v>
      </c>
      <c r="H27" s="3">
        <v>6.5463015156143198</v>
      </c>
      <c r="I27" s="3">
        <f t="shared" si="2"/>
        <v>0.20680272108843537</v>
      </c>
      <c r="J27" s="3">
        <f t="shared" si="3"/>
        <v>1.6248899727872093</v>
      </c>
      <c r="K27" s="3">
        <f t="shared" si="4"/>
        <v>5.3450328052210834</v>
      </c>
      <c r="L27" s="10">
        <v>6.6325211715344397</v>
      </c>
      <c r="M27" s="3" cm="1">
        <f t="array" ref="M27">(E27+2*D27-3712-VgC(L27)*1000)/1470</f>
        <v>1.3157777435692075</v>
      </c>
      <c r="N27" s="9">
        <f t="shared" si="1"/>
        <v>178.36473262088506</v>
      </c>
      <c r="O27" s="10"/>
      <c r="P27" s="10"/>
      <c r="Q27" s="10"/>
      <c r="R27" s="10"/>
      <c r="S27" s="10"/>
      <c r="T27" s="10"/>
      <c r="U27" s="10"/>
      <c r="V27" s="10"/>
      <c r="W27" s="7"/>
    </row>
    <row r="28" spans="1:23" x14ac:dyDescent="0.3">
      <c r="C28" t="s">
        <v>11</v>
      </c>
      <c r="D28">
        <v>4974</v>
      </c>
      <c r="E28" s="33"/>
      <c r="F28" s="3"/>
      <c r="G28" s="3"/>
      <c r="H28" s="3"/>
      <c r="I28" s="3"/>
      <c r="J28" s="3"/>
      <c r="K28" s="3"/>
      <c r="L28" s="10"/>
      <c r="M28" s="3"/>
      <c r="N28" s="9"/>
      <c r="O28" s="10"/>
      <c r="P28" s="10"/>
      <c r="Q28" s="10"/>
      <c r="R28" s="10"/>
      <c r="S28" s="10"/>
      <c r="T28" s="10"/>
      <c r="U28" s="48"/>
      <c r="V28" s="10"/>
      <c r="W28" s="7"/>
    </row>
    <row r="29" spans="1:23" x14ac:dyDescent="0.3">
      <c r="F29" s="3"/>
      <c r="G29" s="3"/>
      <c r="H29" s="3"/>
      <c r="I29" s="3"/>
      <c r="J29" s="3"/>
      <c r="K29" s="3"/>
      <c r="L29" s="3"/>
      <c r="M29" s="3"/>
      <c r="N29" s="3"/>
    </row>
    <row r="30" spans="1:23" x14ac:dyDescent="0.3">
      <c r="F30" s="3"/>
      <c r="G30" s="3"/>
      <c r="H30" s="3"/>
      <c r="I30" s="3"/>
      <c r="J30" s="3"/>
      <c r="K30" s="3"/>
      <c r="L30" s="3"/>
      <c r="M30" s="3"/>
      <c r="N30" s="3"/>
    </row>
    <row r="31" spans="1:23" x14ac:dyDescent="0.3">
      <c r="A31" s="2"/>
      <c r="B31" s="2"/>
      <c r="F31" s="3"/>
      <c r="G31" s="3"/>
      <c r="H31" s="3"/>
      <c r="I31" s="3"/>
      <c r="J31" s="3"/>
      <c r="K31" s="3"/>
      <c r="L31" s="3"/>
      <c r="M31" s="3"/>
      <c r="N31" s="3"/>
    </row>
    <row r="32" spans="1:23" x14ac:dyDescent="0.3">
      <c r="A32" s="2"/>
      <c r="F32" s="3"/>
      <c r="G32" s="3"/>
      <c r="H32" s="3"/>
      <c r="I32" s="3"/>
      <c r="J32" s="3"/>
      <c r="K32" s="3"/>
      <c r="L32" s="3"/>
      <c r="M32" s="3"/>
      <c r="N32" s="3"/>
    </row>
    <row r="33" spans="1:23" x14ac:dyDescent="0.3">
      <c r="F33" s="3"/>
      <c r="G33" s="3"/>
      <c r="H33" s="3"/>
      <c r="I33" s="3"/>
      <c r="J33" s="3"/>
      <c r="K33" s="3"/>
      <c r="L33" s="3"/>
      <c r="M33" s="3"/>
      <c r="N33" s="3"/>
    </row>
    <row r="34" spans="1:23" x14ac:dyDescent="0.3">
      <c r="F34" s="3"/>
      <c r="G34" s="3"/>
      <c r="H34" s="3"/>
      <c r="I34" s="3"/>
      <c r="J34" s="3"/>
      <c r="K34" s="3"/>
      <c r="L34" s="3"/>
      <c r="M34" s="3"/>
      <c r="N34" s="3"/>
    </row>
    <row r="35" spans="1:23" x14ac:dyDescent="0.3">
      <c r="A35" t="s">
        <v>43</v>
      </c>
      <c r="G35" s="40" t="s">
        <v>104</v>
      </c>
      <c r="H35" s="5"/>
      <c r="I35" s="5" t="s">
        <v>102</v>
      </c>
      <c r="J35" s="5"/>
      <c r="K35" s="6" t="s">
        <v>101</v>
      </c>
      <c r="L35" s="5" t="s">
        <v>103</v>
      </c>
      <c r="M35" s="6"/>
    </row>
    <row r="36" spans="1:23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</row>
    <row r="37" spans="1:23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36</v>
      </c>
      <c r="G37" s="1" t="s">
        <v>46</v>
      </c>
      <c r="H37" s="1" t="s">
        <v>7</v>
      </c>
      <c r="I37" s="1" t="s">
        <v>67</v>
      </c>
      <c r="J37" s="1" t="s">
        <v>94</v>
      </c>
      <c r="K37" s="27" t="s">
        <v>73</v>
      </c>
      <c r="L37" s="27" t="s">
        <v>74</v>
      </c>
      <c r="M37" s="27" t="s">
        <v>96</v>
      </c>
      <c r="N37" s="1" t="s">
        <v>38</v>
      </c>
    </row>
    <row r="38" spans="1:23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/>
      <c r="J38" s="1"/>
      <c r="K38" s="27" t="s">
        <v>95</v>
      </c>
      <c r="L38" s="27" t="s">
        <v>95</v>
      </c>
      <c r="M38" s="27"/>
      <c r="N38" s="1" t="s">
        <v>34</v>
      </c>
      <c r="S38" s="46"/>
      <c r="T38" s="46"/>
      <c r="U38" s="46"/>
      <c r="V38" s="46"/>
    </row>
    <row r="39" spans="1:23" x14ac:dyDescent="0.3">
      <c r="A39" s="13" t="s">
        <v>16</v>
      </c>
      <c r="B39" s="13">
        <v>10772</v>
      </c>
      <c r="C39" s="13" t="s">
        <v>3</v>
      </c>
      <c r="D39" s="13">
        <v>9551</v>
      </c>
      <c r="E39" s="13">
        <f t="shared" ref="E39:E45" si="7">$B$39-D39</f>
        <v>1221</v>
      </c>
      <c r="F39" s="15" cm="1">
        <f t="array" ref="F39">als(E39/1000)</f>
        <v>0.3635192272901806</v>
      </c>
      <c r="G39" s="15">
        <v>0.33333333333333331</v>
      </c>
      <c r="H39" s="15">
        <v>1.0272204302791099</v>
      </c>
      <c r="I39" s="15">
        <f>E39/4880</f>
        <v>0.25020491803278688</v>
      </c>
      <c r="J39" s="15">
        <f t="shared" ref="J39:J62" si="8">SQRT(G39)*ABS(H39/1000)*E39</f>
        <v>0.7241335761571861</v>
      </c>
      <c r="K39" s="15">
        <f>SQRT(G39)*ABS(H39/1000)*1000</f>
        <v>0.59306599193872733</v>
      </c>
      <c r="L39" s="11">
        <v>1.20873770697426</v>
      </c>
      <c r="M39" s="15" cm="1">
        <f t="array" ref="M39">(E39+2*D39-10537-VgB(K39)*1000)/4880</f>
        <v>0.15454252686966163</v>
      </c>
      <c r="N39" s="12">
        <f t="shared" ref="N39:N62" si="9">(4/3)*F39*(1/3)*(1/2)*E39^3*G39*(H39/1000)^2</f>
        <v>51.72111833235703</v>
      </c>
      <c r="O39" s="10"/>
      <c r="P39" s="10"/>
      <c r="Q39" s="10"/>
      <c r="R39" s="10"/>
      <c r="S39" s="10"/>
      <c r="T39" s="10"/>
      <c r="U39" s="10"/>
      <c r="V39" s="10"/>
      <c r="W39" s="7"/>
    </row>
    <row r="40" spans="1:23" x14ac:dyDescent="0.3">
      <c r="B40" s="2"/>
      <c r="C40" t="s">
        <v>4</v>
      </c>
      <c r="D40">
        <v>10017</v>
      </c>
      <c r="E40" s="33">
        <f t="shared" si="7"/>
        <v>755</v>
      </c>
      <c r="F40" s="3" cm="1">
        <f t="array" ref="F40">als(E40/1000)</f>
        <v>0.4912340851475101</v>
      </c>
      <c r="G40" s="3">
        <v>0.33333333333333331</v>
      </c>
      <c r="H40" s="3">
        <v>-2.4728624331198898</v>
      </c>
      <c r="I40" s="3">
        <f t="shared" ref="I40:I62" si="10">E40/4880</f>
        <v>0.15471311475409835</v>
      </c>
      <c r="J40" s="3">
        <f t="shared" si="8"/>
        <v>1.0779193825301643</v>
      </c>
      <c r="K40" s="3">
        <f t="shared" ref="K40:K62" si="11">SQRT(G40)*ABS(H40/1000)*1000</f>
        <v>1.4277077914306813</v>
      </c>
      <c r="L40" s="10">
        <v>2.4490469895425302</v>
      </c>
      <c r="M40" s="3" cm="1">
        <f t="array" ref="M40">(E40+2*D40-10537-VgB(K40)*1000)/4880</f>
        <v>0.16478369877197602</v>
      </c>
      <c r="N40" s="9">
        <f t="shared" si="9"/>
        <v>95.76250406521757</v>
      </c>
      <c r="O40" s="10"/>
      <c r="P40" s="10"/>
      <c r="Q40" s="10"/>
      <c r="R40" s="10"/>
      <c r="S40" s="10"/>
      <c r="T40" s="10"/>
      <c r="U40" s="10"/>
      <c r="V40" s="10"/>
      <c r="W40" s="7"/>
    </row>
    <row r="41" spans="1:23" x14ac:dyDescent="0.3">
      <c r="C41" t="s">
        <v>5</v>
      </c>
      <c r="D41">
        <v>10355</v>
      </c>
      <c r="E41" s="33">
        <f t="shared" si="7"/>
        <v>417</v>
      </c>
      <c r="F41" s="3" cm="1">
        <f t="array" ref="F41">als(E41/1000)</f>
        <v>0.9764279093395507</v>
      </c>
      <c r="G41" s="3">
        <v>0.33333333333333331</v>
      </c>
      <c r="H41" s="3">
        <v>1.4961504047524901</v>
      </c>
      <c r="I41" s="3">
        <f t="shared" si="10"/>
        <v>8.5450819672131154E-2</v>
      </c>
      <c r="J41" s="3">
        <f t="shared" si="8"/>
        <v>0.36020578383465141</v>
      </c>
      <c r="K41" s="3">
        <f t="shared" si="11"/>
        <v>0.8638028389320177</v>
      </c>
      <c r="L41" s="10">
        <v>3.4295530668187899</v>
      </c>
      <c r="M41" s="3" cm="1">
        <f t="array" ref="M41">(E41+2*D41-10537-VgB(K41)*1000)/4880</f>
        <v>0.28137778064846924</v>
      </c>
      <c r="N41" s="9">
        <f t="shared" si="9"/>
        <v>11.739918706718381</v>
      </c>
      <c r="O41" s="10"/>
      <c r="P41" s="10"/>
      <c r="Q41" s="10"/>
      <c r="R41" s="10"/>
      <c r="S41" s="10"/>
      <c r="T41" s="10"/>
      <c r="U41" s="10"/>
      <c r="V41" s="10"/>
      <c r="W41" s="7"/>
    </row>
    <row r="42" spans="1:23" x14ac:dyDescent="0.3">
      <c r="C42" t="s">
        <v>6</v>
      </c>
      <c r="D42">
        <v>10643</v>
      </c>
      <c r="E42" s="33">
        <f t="shared" si="7"/>
        <v>129</v>
      </c>
      <c r="F42" s="3" cm="1">
        <f t="array" ref="F42">als(E42/1000)</f>
        <v>1</v>
      </c>
      <c r="G42" s="3">
        <v>0.33333333333333331</v>
      </c>
      <c r="H42" s="3">
        <v>-0.21976540589102</v>
      </c>
      <c r="I42" s="3">
        <f t="shared" si="10"/>
        <v>2.6434426229508198E-2</v>
      </c>
      <c r="J42" s="3">
        <f t="shared" si="8"/>
        <v>1.6367728496217461E-2</v>
      </c>
      <c r="K42" s="3">
        <f t="shared" si="11"/>
        <v>0.12688161624974775</v>
      </c>
      <c r="L42" s="10">
        <v>4.2872389731671996</v>
      </c>
      <c r="M42" s="3" cm="1">
        <f t="array" ref="M42">(E42+2*D42-10537-VgB(K42)*1000)/4880</f>
        <v>0.70353430928992</v>
      </c>
      <c r="N42" s="9">
        <f t="shared" si="9"/>
        <v>7.6798727022754885E-3</v>
      </c>
      <c r="O42" s="10"/>
      <c r="P42" s="10"/>
      <c r="Q42" s="10"/>
      <c r="R42" s="10"/>
      <c r="S42" s="10"/>
      <c r="T42" s="10"/>
      <c r="U42" s="10"/>
      <c r="V42" s="10"/>
      <c r="W42" s="7"/>
    </row>
    <row r="43" spans="1:23" x14ac:dyDescent="0.3">
      <c r="C43" t="s">
        <v>8</v>
      </c>
      <c r="D43">
        <v>10106</v>
      </c>
      <c r="E43" s="33">
        <f t="shared" si="7"/>
        <v>666</v>
      </c>
      <c r="F43" s="3" cm="1">
        <f t="array" ref="F43">als(E43/1000)</f>
        <v>0.54403517254008549</v>
      </c>
      <c r="G43" s="3">
        <f>2/3</f>
        <v>0.66666666666666663</v>
      </c>
      <c r="H43" s="3">
        <v>2.6997817330416298</v>
      </c>
      <c r="I43" s="3">
        <f t="shared" si="10"/>
        <v>0.13647540983606557</v>
      </c>
      <c r="J43" s="3">
        <f t="shared" si="8"/>
        <v>1.4681054611502278</v>
      </c>
      <c r="K43" s="3">
        <f t="shared" si="11"/>
        <v>2.2043625542796215</v>
      </c>
      <c r="L43" s="10">
        <v>2.6197365527972898</v>
      </c>
      <c r="M43" s="3" cm="1">
        <f t="array" ref="M43">(E43+2*D43-10537-VgB(K43)*1000)/4880</f>
        <v>0.13666743094963713</v>
      </c>
      <c r="N43" s="9">
        <f t="shared" si="9"/>
        <v>173.54144209773634</v>
      </c>
      <c r="O43" s="10"/>
      <c r="P43" s="10"/>
      <c r="Q43" s="10"/>
      <c r="R43" s="10"/>
      <c r="S43" s="10"/>
      <c r="T43" s="10"/>
      <c r="U43" s="10"/>
      <c r="V43" s="10"/>
      <c r="W43" s="7"/>
    </row>
    <row r="44" spans="1:23" x14ac:dyDescent="0.3">
      <c r="B44" s="2"/>
      <c r="C44" t="s">
        <v>9</v>
      </c>
      <c r="D44">
        <v>10416</v>
      </c>
      <c r="E44" s="33">
        <f t="shared" si="7"/>
        <v>356</v>
      </c>
      <c r="F44" s="3" cm="1">
        <f t="array" ref="F44">als(E44/1000)</f>
        <v>1</v>
      </c>
      <c r="G44" s="3">
        <f>2/3</f>
        <v>0.66666666666666663</v>
      </c>
      <c r="H44" s="3">
        <v>-1.4646207085121901</v>
      </c>
      <c r="I44" s="3">
        <f t="shared" si="10"/>
        <v>7.2950819672131142E-2</v>
      </c>
      <c r="J44" s="3">
        <f t="shared" si="8"/>
        <v>0.42572537710478831</v>
      </c>
      <c r="K44" s="3">
        <f t="shared" si="11"/>
        <v>1.1958578008561469</v>
      </c>
      <c r="L44" s="10">
        <v>3.5477705192787301</v>
      </c>
      <c r="M44" s="3" cm="1">
        <f t="array" ref="M44">(E44+2*D44-10537-VgB(K44)*1000)/4880</f>
        <v>0.26343920709506224</v>
      </c>
      <c r="N44" s="9">
        <f t="shared" si="9"/>
        <v>14.33826365091579</v>
      </c>
      <c r="O44" s="10"/>
      <c r="P44" s="10"/>
      <c r="Q44" s="10"/>
      <c r="R44" s="10"/>
      <c r="S44" s="10"/>
      <c r="T44" s="10"/>
      <c r="U44" s="10"/>
      <c r="V44" s="10"/>
      <c r="W44" s="7"/>
    </row>
    <row r="45" spans="1:23" x14ac:dyDescent="0.3">
      <c r="C45" t="s">
        <v>10</v>
      </c>
      <c r="D45">
        <v>10689</v>
      </c>
      <c r="E45" s="33">
        <f t="shared" si="7"/>
        <v>83</v>
      </c>
      <c r="F45" s="3" cm="1">
        <f t="array" ref="F45">als(E45/1000)</f>
        <v>1</v>
      </c>
      <c r="G45" s="3">
        <f>2/3</f>
        <v>0.66666666666666663</v>
      </c>
      <c r="H45" s="3">
        <v>0.15988905539590101</v>
      </c>
      <c r="I45" s="3">
        <f t="shared" si="10"/>
        <v>1.7008196721311476E-2</v>
      </c>
      <c r="J45" s="3">
        <f t="shared" si="8"/>
        <v>1.0835555965856907E-2</v>
      </c>
      <c r="K45" s="3">
        <f t="shared" si="11"/>
        <v>0.13054886705851695</v>
      </c>
      <c r="L45" s="10">
        <v>4.3779667163029297</v>
      </c>
      <c r="M45" s="3" cm="1">
        <f t="array" ref="M45">(E45+2*D45-10537-VgB(K45)*1000)/4880</f>
        <v>0.70191066570939786</v>
      </c>
      <c r="N45" s="9">
        <f t="shared" si="9"/>
        <v>2.1655488147566725E-3</v>
      </c>
      <c r="O45" s="10"/>
      <c r="P45" s="10"/>
      <c r="Q45" s="10"/>
      <c r="R45" s="10"/>
      <c r="S45" s="10"/>
      <c r="T45" s="10"/>
      <c r="U45" s="10"/>
      <c r="V45" s="10"/>
      <c r="W45" s="7"/>
    </row>
    <row r="46" spans="1:23" x14ac:dyDescent="0.3">
      <c r="C46" t="s">
        <v>11</v>
      </c>
      <c r="D46">
        <v>10939</v>
      </c>
      <c r="E46" s="33"/>
      <c r="F46" s="3"/>
      <c r="G46" s="3"/>
      <c r="H46" s="3"/>
      <c r="I46" s="3"/>
      <c r="J46" s="3"/>
      <c r="K46" s="3"/>
      <c r="L46" s="10"/>
      <c r="M46" s="3"/>
      <c r="N46" s="9"/>
      <c r="O46" s="10"/>
      <c r="P46" s="10"/>
      <c r="Q46" s="10"/>
      <c r="R46" s="10"/>
      <c r="S46" s="10"/>
      <c r="T46" s="10"/>
      <c r="U46" s="10"/>
      <c r="V46" s="10"/>
      <c r="W46" s="7"/>
    </row>
    <row r="47" spans="1:23" x14ac:dyDescent="0.3">
      <c r="A47" s="13" t="s">
        <v>17</v>
      </c>
      <c r="B47" s="13">
        <v>10995</v>
      </c>
      <c r="C47" s="13" t="s">
        <v>3</v>
      </c>
      <c r="D47" s="13">
        <v>9551</v>
      </c>
      <c r="E47" s="13">
        <f>$B$47-D47</f>
        <v>1444</v>
      </c>
      <c r="F47" s="15" cm="1">
        <f t="array" ref="F47">als(E47/1000)</f>
        <v>0.33437360902865776</v>
      </c>
      <c r="G47" s="15">
        <v>0.33333333333333331</v>
      </c>
      <c r="H47" s="15">
        <v>0.65944642755870098</v>
      </c>
      <c r="I47" s="15">
        <f t="shared" si="10"/>
        <v>0.29590163934426228</v>
      </c>
      <c r="J47" s="15">
        <f t="shared" si="8"/>
        <v>0.549776390642569</v>
      </c>
      <c r="K47" s="15">
        <f t="shared" si="11"/>
        <v>0.38073157246715306</v>
      </c>
      <c r="L47" s="11">
        <v>1.20873770697426</v>
      </c>
      <c r="M47" s="15" cm="1">
        <f t="array" ref="M47">(E47+2*D47-10537-VgB(K47)*1000)/4880</f>
        <v>0.25584182084647694</v>
      </c>
      <c r="N47" s="12">
        <f t="shared" si="9"/>
        <v>32.430888247722564</v>
      </c>
      <c r="O47" s="10"/>
      <c r="P47" s="10"/>
      <c r="Q47" s="10"/>
      <c r="R47" s="10"/>
      <c r="S47" s="10"/>
      <c r="T47" s="10"/>
      <c r="U47" s="10"/>
      <c r="V47" s="10"/>
      <c r="W47" s="7"/>
    </row>
    <row r="48" spans="1:23" x14ac:dyDescent="0.3">
      <c r="A48" s="13"/>
      <c r="B48" s="17"/>
      <c r="C48" s="13" t="s">
        <v>4</v>
      </c>
      <c r="D48" s="13">
        <v>10017</v>
      </c>
      <c r="E48" s="13">
        <f t="shared" ref="E48:E54" si="12">$B$47-D48</f>
        <v>978</v>
      </c>
      <c r="F48" s="15" cm="1">
        <f t="array" ref="F48">als(E48/1000)</f>
        <v>0.41202361843821073</v>
      </c>
      <c r="G48" s="15">
        <v>0.33333333333333331</v>
      </c>
      <c r="H48" s="15">
        <v>0.45870583022141398</v>
      </c>
      <c r="I48" s="15">
        <f t="shared" si="10"/>
        <v>0.20040983606557378</v>
      </c>
      <c r="J48" s="15">
        <f t="shared" si="8"/>
        <v>0.25900758799692603</v>
      </c>
      <c r="K48" s="15">
        <f t="shared" si="11"/>
        <v>0.26483393455718413</v>
      </c>
      <c r="L48" s="11">
        <v>2.4490469895425302</v>
      </c>
      <c r="M48" s="15" cm="1">
        <f t="array" ref="M48">(E48+2*D48-10537-VgB(K48)*1000)/4880</f>
        <v>0.41296905333945905</v>
      </c>
      <c r="N48" s="12">
        <f t="shared" si="9"/>
        <v>6.0072184879853303</v>
      </c>
      <c r="O48" s="10"/>
      <c r="P48" s="10"/>
      <c r="Q48" s="10"/>
      <c r="R48" s="10"/>
      <c r="S48" s="10"/>
      <c r="T48" s="10"/>
      <c r="U48" s="10"/>
      <c r="V48" s="10"/>
      <c r="W48" s="7"/>
    </row>
    <row r="49" spans="1:23" x14ac:dyDescent="0.3">
      <c r="C49" t="s">
        <v>5</v>
      </c>
      <c r="D49">
        <v>10355</v>
      </c>
      <c r="E49" s="33">
        <f t="shared" si="12"/>
        <v>640</v>
      </c>
      <c r="F49" s="3" cm="1">
        <f t="array" ref="F49">als(E49/1000)</f>
        <v>0.56371932185195361</v>
      </c>
      <c r="G49" s="3">
        <v>0.33333333333333331</v>
      </c>
      <c r="H49" s="3">
        <v>-3.2940807917681401</v>
      </c>
      <c r="I49" s="3">
        <f t="shared" si="10"/>
        <v>0.13114754098360656</v>
      </c>
      <c r="J49" s="3">
        <f t="shared" si="8"/>
        <v>1.2171765963902152</v>
      </c>
      <c r="K49" s="3">
        <f t="shared" si="11"/>
        <v>1.9018384318597112</v>
      </c>
      <c r="L49" s="10">
        <v>3.4295530668187899</v>
      </c>
      <c r="M49" s="3" cm="1">
        <f t="array" ref="M49">(E49+2*D49-10537-VgB(K49)*1000)/4880</f>
        <v>0.25026607011370816</v>
      </c>
      <c r="N49" s="9">
        <f t="shared" si="9"/>
        <v>118.77842643959602</v>
      </c>
      <c r="O49" s="10"/>
      <c r="P49" s="10"/>
      <c r="Q49" s="10"/>
      <c r="R49" s="10"/>
      <c r="S49" s="10"/>
      <c r="T49" s="10"/>
      <c r="U49" s="10"/>
      <c r="V49" s="10"/>
      <c r="W49" s="7"/>
    </row>
    <row r="50" spans="1:23" x14ac:dyDescent="0.3">
      <c r="C50" t="s">
        <v>6</v>
      </c>
      <c r="D50">
        <v>10643</v>
      </c>
      <c r="E50" s="33">
        <f t="shared" si="12"/>
        <v>352</v>
      </c>
      <c r="F50" s="3" cm="1">
        <f t="array" ref="F50">als(E50/1000)</f>
        <v>1</v>
      </c>
      <c r="G50" s="3">
        <v>0.33333333333333331</v>
      </c>
      <c r="H50" s="3">
        <v>2.3375758579670798</v>
      </c>
      <c r="I50" s="3">
        <f t="shared" si="10"/>
        <v>7.2131147540983612E-2</v>
      </c>
      <c r="J50" s="3">
        <f t="shared" si="8"/>
        <v>0.47505921789865929</v>
      </c>
      <c r="K50" s="3">
        <f t="shared" si="11"/>
        <v>1.349600050848464</v>
      </c>
      <c r="L50" s="10">
        <v>4.2872389731671996</v>
      </c>
      <c r="M50" s="3" cm="1">
        <f t="array" ref="M50">(E50+2*D50-10537-VgB(K50)*1000)/4880</f>
        <v>0.34419394480623289</v>
      </c>
      <c r="N50" s="9">
        <f t="shared" si="9"/>
        <v>17.653289711042447</v>
      </c>
      <c r="O50" s="10"/>
      <c r="P50" s="10"/>
      <c r="Q50" s="10"/>
      <c r="R50" s="10"/>
      <c r="S50" s="10"/>
      <c r="T50" s="10"/>
      <c r="U50" s="10"/>
      <c r="V50" s="10"/>
      <c r="W50" s="7"/>
    </row>
    <row r="51" spans="1:23" x14ac:dyDescent="0.3">
      <c r="C51" s="13" t="s">
        <v>8</v>
      </c>
      <c r="D51" s="13">
        <v>10106</v>
      </c>
      <c r="E51" s="13">
        <f t="shared" si="12"/>
        <v>889</v>
      </c>
      <c r="F51" s="15" cm="1">
        <f t="array" ref="F51">als(E51/1000)</f>
        <v>0.43767081879334541</v>
      </c>
      <c r="G51" s="15">
        <f>2/3</f>
        <v>0.66666666666666663</v>
      </c>
      <c r="H51" s="15">
        <v>-0.17479612692226401</v>
      </c>
      <c r="I51" s="15">
        <f t="shared" si="10"/>
        <v>0.18217213114754099</v>
      </c>
      <c r="J51" s="15">
        <f t="shared" si="8"/>
        <v>0.12687847115238787</v>
      </c>
      <c r="K51" s="15">
        <f t="shared" si="11"/>
        <v>0.14272043999143744</v>
      </c>
      <c r="L51" s="11">
        <v>2.6197365527972898</v>
      </c>
      <c r="M51" s="15" cm="1">
        <f t="array" ref="M51">(E51+2*D51-10537-VgB(K51)*1000)/4880</f>
        <v>0.59547628502977967</v>
      </c>
      <c r="N51" s="14">
        <f t="shared" si="9"/>
        <v>1.3919149916894427</v>
      </c>
      <c r="O51" s="10"/>
      <c r="P51" s="10"/>
      <c r="Q51" s="10"/>
      <c r="R51" s="10"/>
      <c r="S51" s="10"/>
      <c r="T51" s="10"/>
      <c r="U51" s="10"/>
      <c r="V51" s="10"/>
      <c r="W51" s="4"/>
    </row>
    <row r="52" spans="1:23" x14ac:dyDescent="0.3">
      <c r="B52" s="2"/>
      <c r="C52" t="s">
        <v>9</v>
      </c>
      <c r="D52">
        <v>10416</v>
      </c>
      <c r="E52" s="33">
        <f t="shared" si="12"/>
        <v>579</v>
      </c>
      <c r="F52" s="3" cm="1">
        <f t="array" ref="F52">als(E52/1000)</f>
        <v>0.62160496466815252</v>
      </c>
      <c r="G52" s="3">
        <f>2/3</f>
        <v>0.66666666666666663</v>
      </c>
      <c r="H52" s="3">
        <v>3.4578170467915901</v>
      </c>
      <c r="I52" s="3">
        <f t="shared" si="10"/>
        <v>0.11864754098360655</v>
      </c>
      <c r="J52" s="3">
        <f t="shared" si="8"/>
        <v>1.6346882659876063</v>
      </c>
      <c r="K52" s="3">
        <f t="shared" si="11"/>
        <v>2.82329579617894</v>
      </c>
      <c r="L52" s="10">
        <v>3.5477705192787301</v>
      </c>
      <c r="M52" s="3" cm="1">
        <f t="array" ref="M52">(E52+2*D52-10537-VgB(K52)*1000)/4880</f>
        <v>0.21372918795204746</v>
      </c>
      <c r="N52" s="9">
        <f t="shared" si="9"/>
        <v>213.72258324857211</v>
      </c>
      <c r="O52" s="10"/>
      <c r="P52" s="10"/>
      <c r="Q52" s="10"/>
      <c r="R52" s="10"/>
      <c r="S52" s="10"/>
      <c r="T52" s="10"/>
      <c r="U52" s="10"/>
      <c r="V52" s="10"/>
      <c r="W52" s="7"/>
    </row>
    <row r="53" spans="1:23" x14ac:dyDescent="0.3">
      <c r="C53" t="s">
        <v>10</v>
      </c>
      <c r="D53">
        <v>10689</v>
      </c>
      <c r="E53" s="33">
        <f t="shared" si="12"/>
        <v>306</v>
      </c>
      <c r="F53" s="3" cm="1">
        <f t="array" ref="F53">als(E53/1000)</f>
        <v>1</v>
      </c>
      <c r="G53" s="3">
        <f>2/3</f>
        <v>0.66666666666666663</v>
      </c>
      <c r="H53" s="3">
        <v>-2.2439827519129598</v>
      </c>
      <c r="I53" s="3">
        <f t="shared" si="10"/>
        <v>6.2704918032786883E-2</v>
      </c>
      <c r="J53" s="3">
        <f t="shared" si="8"/>
        <v>0.56065449884690266</v>
      </c>
      <c r="K53" s="3">
        <f t="shared" si="11"/>
        <v>1.8322042445977211</v>
      </c>
      <c r="L53" s="10">
        <v>4.3779667163029297</v>
      </c>
      <c r="M53" s="3" cm="1">
        <f t="array" ref="M53">(E53+2*D53-10537-VgB(K53)*1000)/4880</f>
        <v>0.32275939560213412</v>
      </c>
      <c r="N53" s="9">
        <f t="shared" si="9"/>
        <v>21.374675761254469</v>
      </c>
      <c r="O53" s="10"/>
      <c r="P53" s="10"/>
      <c r="Q53" s="10"/>
      <c r="R53" s="10"/>
      <c r="S53" s="10"/>
      <c r="T53" s="10"/>
      <c r="U53" s="10"/>
      <c r="V53" s="10"/>
      <c r="W53" s="7"/>
    </row>
    <row r="54" spans="1:23" x14ac:dyDescent="0.3">
      <c r="C54" t="s">
        <v>11</v>
      </c>
      <c r="D54">
        <v>10939</v>
      </c>
      <c r="E54" s="33">
        <f t="shared" si="12"/>
        <v>56</v>
      </c>
      <c r="F54" s="3" cm="1">
        <f t="array" ref="F54">als(E54/1000)</f>
        <v>1E-4</v>
      </c>
      <c r="G54" s="3">
        <f>2/3</f>
        <v>0.66666666666666663</v>
      </c>
      <c r="H54" s="3">
        <v>0.26003301513751298</v>
      </c>
      <c r="I54" s="3">
        <f t="shared" si="10"/>
        <v>1.1475409836065573E-2</v>
      </c>
      <c r="J54" s="3">
        <f t="shared" si="8"/>
        <v>1.1889699796133992E-2</v>
      </c>
      <c r="K54" s="3">
        <f t="shared" si="11"/>
        <v>0.21231606778810699</v>
      </c>
      <c r="L54" s="10">
        <v>5.1386442490654396</v>
      </c>
      <c r="M54" s="3" cm="1">
        <f t="array" ref="M54">(E54+2*D54-10537-VgB(K54)*1000)/4880</f>
        <v>0.65015209722343359</v>
      </c>
      <c r="N54" s="9">
        <f t="shared" si="9"/>
        <v>1.7592084065694592E-7</v>
      </c>
      <c r="O54" s="10"/>
      <c r="P54" s="10"/>
      <c r="Q54" s="10"/>
      <c r="R54" s="10"/>
      <c r="S54" s="10"/>
      <c r="T54" s="10"/>
      <c r="U54" s="10"/>
      <c r="V54" s="10"/>
      <c r="W54" s="7"/>
    </row>
    <row r="55" spans="1:23" x14ac:dyDescent="0.3">
      <c r="A55" s="13" t="s">
        <v>18</v>
      </c>
      <c r="B55" s="13">
        <v>11209</v>
      </c>
      <c r="C55" s="13" t="s">
        <v>3</v>
      </c>
      <c r="D55" s="13">
        <v>9551</v>
      </c>
      <c r="E55" s="13">
        <f>$B$55-D55</f>
        <v>1658</v>
      </c>
      <c r="F55" s="15" cm="1">
        <f t="array" ref="F55">als(E55/1000)</f>
        <v>0.3139051852551562</v>
      </c>
      <c r="G55" s="15">
        <v>0.33333333333333331</v>
      </c>
      <c r="H55" s="15">
        <v>0.41183824871027502</v>
      </c>
      <c r="I55" s="15">
        <f t="shared" si="10"/>
        <v>0.33975409836065573</v>
      </c>
      <c r="J55" s="15">
        <f t="shared" si="8"/>
        <v>0.39423082358655487</v>
      </c>
      <c r="K55" s="15">
        <f t="shared" si="11"/>
        <v>0.2377749237554613</v>
      </c>
      <c r="L55" s="11">
        <v>1.20873770697426</v>
      </c>
      <c r="M55" s="15" cm="1">
        <f t="array" ref="M55">(E55+2*D55-10537-VgB(K55)*1000)/4880</f>
        <v>0.38365497971408258</v>
      </c>
      <c r="N55" s="12">
        <f t="shared" si="9"/>
        <v>17.975114136857002</v>
      </c>
      <c r="O55" s="10"/>
      <c r="P55" s="10"/>
      <c r="Q55" s="10"/>
      <c r="R55" s="10"/>
      <c r="S55" s="10"/>
      <c r="T55" s="10"/>
      <c r="U55" s="10"/>
      <c r="V55" s="10"/>
      <c r="W55" s="7"/>
    </row>
    <row r="56" spans="1:23" x14ac:dyDescent="0.3">
      <c r="A56" s="13"/>
      <c r="B56" s="17"/>
      <c r="C56" s="13" t="s">
        <v>4</v>
      </c>
      <c r="D56" s="13">
        <v>10017</v>
      </c>
      <c r="E56" s="13">
        <f t="shared" ref="E56:E62" si="13">$B$55-D56</f>
        <v>1192</v>
      </c>
      <c r="F56" s="15" cm="1">
        <f t="array" ref="F56">als(E56/1000)</f>
        <v>0.36816042310226699</v>
      </c>
      <c r="G56" s="15">
        <v>0.33333333333333331</v>
      </c>
      <c r="H56" s="15">
        <v>0.60499941551865799</v>
      </c>
      <c r="I56" s="15">
        <f t="shared" si="10"/>
        <v>0.2442622950819672</v>
      </c>
      <c r="J56" s="15">
        <f t="shared" si="8"/>
        <v>0.41636151788784198</v>
      </c>
      <c r="K56" s="15">
        <f t="shared" si="11"/>
        <v>0.3492965754092634</v>
      </c>
      <c r="L56" s="11">
        <v>2.4490469895425302</v>
      </c>
      <c r="M56" s="15" cm="1">
        <f t="array" ref="M56">(E56+2*D56-10537-VgB(K56)*1000)/4880</f>
        <v>0.40819599084287184</v>
      </c>
      <c r="N56" s="12">
        <f t="shared" si="9"/>
        <v>16.906044520762858</v>
      </c>
      <c r="O56" s="10"/>
      <c r="P56" s="10"/>
      <c r="Q56" s="10"/>
      <c r="R56" s="10"/>
      <c r="S56" s="10"/>
      <c r="T56" s="10"/>
      <c r="U56" s="10"/>
      <c r="V56" s="10"/>
      <c r="W56" s="7"/>
    </row>
    <row r="57" spans="1:23" x14ac:dyDescent="0.3">
      <c r="A57" s="13"/>
      <c r="B57" s="13"/>
      <c r="C57" s="13" t="s">
        <v>5</v>
      </c>
      <c r="D57" s="13">
        <v>10355</v>
      </c>
      <c r="E57" s="13">
        <f t="shared" si="13"/>
        <v>854</v>
      </c>
      <c r="F57" s="15" cm="1">
        <f t="array" ref="F57">als(E57/1000)</f>
        <v>0.44958178887744221</v>
      </c>
      <c r="G57" s="15">
        <v>0.33333333333333331</v>
      </c>
      <c r="H57" s="15">
        <v>0.123399187814677</v>
      </c>
      <c r="I57" s="15">
        <f t="shared" si="10"/>
        <v>0.17499999999999999</v>
      </c>
      <c r="J57" s="15">
        <f t="shared" si="8"/>
        <v>6.0842849374407544E-2</v>
      </c>
      <c r="K57" s="15">
        <f t="shared" si="11"/>
        <v>7.1244554302584945E-2</v>
      </c>
      <c r="L57" s="11">
        <v>3.4295530668187899</v>
      </c>
      <c r="M57" s="15" cm="1">
        <f t="array" ref="M57">(E57+2*D57-10537-VgB(K57)*1000)/4880</f>
        <v>1.0392133082764026</v>
      </c>
      <c r="N57" s="14">
        <f t="shared" si="9"/>
        <v>0.31584438255764102</v>
      </c>
      <c r="O57" s="10"/>
      <c r="P57" s="10"/>
      <c r="Q57" s="10"/>
      <c r="R57" s="10"/>
      <c r="S57" s="10"/>
      <c r="T57" s="10"/>
      <c r="U57" s="10"/>
      <c r="V57" s="10"/>
      <c r="W57" s="4"/>
    </row>
    <row r="58" spans="1:23" x14ac:dyDescent="0.3">
      <c r="C58" t="s">
        <v>6</v>
      </c>
      <c r="D58">
        <v>10643</v>
      </c>
      <c r="E58" s="33">
        <f t="shared" si="13"/>
        <v>566</v>
      </c>
      <c r="F58" s="3" cm="1">
        <f t="array" ref="F58">als(E58/1000)</f>
        <v>0.6367544927597889</v>
      </c>
      <c r="G58" s="3">
        <v>0.33333333333333331</v>
      </c>
      <c r="H58" s="3">
        <v>-3.9168511030326498</v>
      </c>
      <c r="I58" s="3">
        <f t="shared" si="10"/>
        <v>0.11598360655737705</v>
      </c>
      <c r="J58" s="3">
        <f t="shared" si="8"/>
        <v>1.279949591910756</v>
      </c>
      <c r="K58" s="3">
        <f t="shared" si="11"/>
        <v>2.2613950387115827</v>
      </c>
      <c r="L58" s="10">
        <v>4.2872389731671996</v>
      </c>
      <c r="M58" s="3" cm="1">
        <f t="array" ref="M58">(E58+2*D58-10537-VgB(K58)*1000)/4880</f>
        <v>0.3331822225787216</v>
      </c>
      <c r="N58" s="9">
        <f t="shared" si="9"/>
        <v>131.20840851130606</v>
      </c>
      <c r="O58" s="10"/>
      <c r="P58" s="10"/>
      <c r="Q58" s="10"/>
      <c r="R58" s="10"/>
      <c r="S58" s="10"/>
      <c r="T58" s="10"/>
      <c r="U58" s="10"/>
      <c r="V58" s="10"/>
      <c r="W58" s="7"/>
    </row>
    <row r="59" spans="1:23" x14ac:dyDescent="0.3">
      <c r="C59" s="13" t="s">
        <v>8</v>
      </c>
      <c r="D59" s="13">
        <v>10106</v>
      </c>
      <c r="E59" s="13">
        <f t="shared" si="13"/>
        <v>1103</v>
      </c>
      <c r="F59" s="15" cm="1">
        <f t="array" ref="F59">als(E59/1000)</f>
        <v>0.3840783215058699</v>
      </c>
      <c r="G59" s="15">
        <f>2/3</f>
        <v>0.66666666666666663</v>
      </c>
      <c r="H59" s="15">
        <v>-0.28458839890118498</v>
      </c>
      <c r="I59" s="15">
        <f t="shared" si="10"/>
        <v>0.22602459016393442</v>
      </c>
      <c r="J59" s="15">
        <f t="shared" si="8"/>
        <v>0.25629909650598826</v>
      </c>
      <c r="K59" s="15">
        <f t="shared" si="11"/>
        <v>0.23236545467451336</v>
      </c>
      <c r="L59" s="11">
        <v>2.6197365527972898</v>
      </c>
      <c r="M59" s="15" cm="1">
        <f t="array" ref="M59">(E59+2*D59-10537-VgB(K59)*1000)/4880</f>
        <v>0.50243794971783928</v>
      </c>
      <c r="N59" s="12">
        <f t="shared" si="9"/>
        <v>6.184106271305267</v>
      </c>
      <c r="O59" s="10"/>
      <c r="P59" s="10"/>
      <c r="Q59" s="10"/>
      <c r="R59" s="10"/>
      <c r="S59" s="10"/>
      <c r="T59" s="10"/>
      <c r="U59" s="10"/>
      <c r="V59" s="10"/>
      <c r="W59" s="7"/>
    </row>
    <row r="60" spans="1:23" x14ac:dyDescent="0.3">
      <c r="C60" s="18" t="s">
        <v>9</v>
      </c>
      <c r="D60" s="18">
        <v>10416</v>
      </c>
      <c r="E60" s="49">
        <f t="shared" si="13"/>
        <v>793</v>
      </c>
      <c r="F60" s="19" cm="1">
        <f t="array" ref="F60">als(E60/1000)</f>
        <v>0.47361412977056511</v>
      </c>
      <c r="G60" s="19">
        <f>2/3</f>
        <v>0.66666666666666663</v>
      </c>
      <c r="H60" s="3">
        <v>-5.5210579096265498E-2</v>
      </c>
      <c r="I60" s="3">
        <f t="shared" si="10"/>
        <v>0.16250000000000001</v>
      </c>
      <c r="J60" s="3">
        <f t="shared" si="8"/>
        <v>3.5747844507070463E-2</v>
      </c>
      <c r="K60" s="3">
        <f t="shared" si="11"/>
        <v>4.5079249063140564E-2</v>
      </c>
      <c r="L60" s="10">
        <v>3.5477705192787301</v>
      </c>
      <c r="M60" s="3" cm="1">
        <f t="array" ref="M60">(E60+2*D60-10537-VgB(K60)*1000)/4880</f>
        <v>1.4535379764664853</v>
      </c>
      <c r="N60" s="25">
        <f t="shared" si="9"/>
        <v>0.10665593924245263</v>
      </c>
      <c r="O60" s="10"/>
      <c r="P60" s="10"/>
      <c r="Q60" s="10"/>
      <c r="R60" s="10"/>
      <c r="S60" s="10"/>
      <c r="T60" s="10"/>
      <c r="U60" s="10"/>
      <c r="V60" s="10"/>
      <c r="W60" s="7"/>
    </row>
    <row r="61" spans="1:23" x14ac:dyDescent="0.3">
      <c r="C61" t="s">
        <v>10</v>
      </c>
      <c r="D61">
        <v>10689</v>
      </c>
      <c r="E61" s="33">
        <f t="shared" si="13"/>
        <v>520</v>
      </c>
      <c r="F61" s="3" cm="1">
        <f t="array" ref="F61">als(E61/1000)</f>
        <v>0.70193292380159866</v>
      </c>
      <c r="G61" s="3">
        <f>2/3</f>
        <v>0.66666666666666663</v>
      </c>
      <c r="H61" s="3">
        <v>4.0931331316492798</v>
      </c>
      <c r="I61" s="3">
        <f t="shared" si="10"/>
        <v>0.10655737704918032</v>
      </c>
      <c r="J61" s="3">
        <f t="shared" si="8"/>
        <v>1.7378551877822892</v>
      </c>
      <c r="K61" s="3">
        <f t="shared" si="11"/>
        <v>3.3420292072736331</v>
      </c>
      <c r="L61" s="10">
        <v>4.3779667163029297</v>
      </c>
      <c r="M61" s="3" cm="1">
        <f t="array" ref="M61">(E61+2*D61-10537-VgB(K61)*1000)/4880</f>
        <v>0.28796647096109951</v>
      </c>
      <c r="N61" s="9">
        <f t="shared" si="9"/>
        <v>244.97040063542065</v>
      </c>
      <c r="O61" s="10"/>
      <c r="P61" s="10"/>
      <c r="Q61" s="10"/>
      <c r="R61" s="10"/>
      <c r="S61" s="10"/>
      <c r="T61" s="10"/>
      <c r="U61" s="10"/>
      <c r="V61" s="10"/>
      <c r="W61" s="7"/>
    </row>
    <row r="62" spans="1:23" x14ac:dyDescent="0.3">
      <c r="C62" t="s">
        <v>11</v>
      </c>
      <c r="D62">
        <v>10939</v>
      </c>
      <c r="E62" s="33">
        <f t="shared" si="13"/>
        <v>270</v>
      </c>
      <c r="F62" s="3" cm="1">
        <f t="array" ref="F62">als(E62/1000)</f>
        <v>1</v>
      </c>
      <c r="G62" s="3">
        <f>2/3</f>
        <v>0.66666666666666663</v>
      </c>
      <c r="H62" s="3">
        <v>-2.9215844684388199</v>
      </c>
      <c r="I62" s="3">
        <f t="shared" si="10"/>
        <v>5.5327868852459015E-2</v>
      </c>
      <c r="J62" s="3">
        <f t="shared" si="8"/>
        <v>0.64407520693039788</v>
      </c>
      <c r="K62" s="3">
        <f t="shared" si="11"/>
        <v>2.3854637293718444</v>
      </c>
      <c r="L62" s="10">
        <v>5.1386442490654396</v>
      </c>
      <c r="M62" s="3" cm="1">
        <f t="array" ref="M62">(E62+2*D62-10537-VgB(K62)*1000)/4880</f>
        <v>0.38724071043853153</v>
      </c>
      <c r="N62" s="9">
        <f t="shared" si="9"/>
        <v>24.889972330946101</v>
      </c>
      <c r="O62" s="10"/>
      <c r="P62" s="10"/>
      <c r="Q62" s="10"/>
      <c r="R62" s="10"/>
      <c r="S62" s="10"/>
      <c r="T62" s="10"/>
      <c r="U62" s="10"/>
      <c r="V62" s="10"/>
      <c r="W62" s="7"/>
    </row>
    <row r="65" spans="1:2" x14ac:dyDescent="0.3">
      <c r="A65" s="2"/>
      <c r="B65" s="2"/>
    </row>
    <row r="66" spans="1:2" x14ac:dyDescent="0.3">
      <c r="A66" s="2"/>
    </row>
    <row r="67" spans="1:2" x14ac:dyDescent="0.3">
      <c r="A67" s="5"/>
    </row>
  </sheetData>
  <conditionalFormatting sqref="B6:C6 C7:C8"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B10:C10 C11:C12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B40:C40 C41:C42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B44:C44 C45:C46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14:C16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C18:C20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C22:C24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C26:C34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C48:C50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52:C54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56:C58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60:C6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5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52065-CEFF-421A-AD24-6075BBD17E06}">
  <sheetPr codeName="Full3">
    <pageSetUpPr fitToPage="1"/>
  </sheetPr>
  <dimension ref="A1:AG66"/>
  <sheetViews>
    <sheetView topLeftCell="A58" zoomScaleNormal="100" workbookViewId="0">
      <selection activeCell="E9" sqref="E9"/>
    </sheetView>
  </sheetViews>
  <sheetFormatPr defaultRowHeight="14.4" x14ac:dyDescent="0.3"/>
  <cols>
    <col min="1" max="1" width="9.88671875" customWidth="1"/>
    <col min="2" max="2" width="7.109375" customWidth="1"/>
    <col min="3" max="3" width="5.44140625" customWidth="1"/>
    <col min="4" max="4" width="7.109375" customWidth="1"/>
    <col min="5" max="5" width="6" bestFit="1" customWidth="1"/>
    <col min="6" max="6" width="7.77734375" bestFit="1" customWidth="1"/>
    <col min="7" max="7" width="5" customWidth="1"/>
    <col min="8" max="10" width="6.33203125" bestFit="1" customWidth="1"/>
    <col min="11" max="11" width="10.6640625" customWidth="1"/>
    <col min="12" max="12" width="10" bestFit="1" customWidth="1"/>
    <col min="13" max="14" width="7.21875" customWidth="1"/>
    <col min="15" max="15" width="8" bestFit="1" customWidth="1"/>
    <col min="16" max="16" width="8.109375" bestFit="1" customWidth="1"/>
    <col min="17" max="17" width="6.77734375" customWidth="1"/>
    <col min="18" max="18" width="6.5546875" customWidth="1"/>
    <col min="19" max="19" width="6.6640625" bestFit="1" customWidth="1"/>
    <col min="20" max="20" width="6.33203125" bestFit="1" customWidth="1"/>
    <col min="21" max="21" width="7.44140625" bestFit="1" customWidth="1"/>
    <col min="22" max="23" width="3.77734375" bestFit="1" customWidth="1"/>
    <col min="24" max="25" width="6.6640625" bestFit="1" customWidth="1"/>
    <col min="26" max="26" width="7.21875" bestFit="1" customWidth="1"/>
    <col min="27" max="27" width="5.21875" customWidth="1"/>
    <col min="28" max="28" width="4.6640625" customWidth="1"/>
    <col min="29" max="29" width="6.109375" bestFit="1" customWidth="1"/>
    <col min="30" max="30" width="6.77734375" bestFit="1" customWidth="1"/>
    <col min="31" max="31" width="7.21875" bestFit="1" customWidth="1"/>
    <col min="32" max="32" width="5.6640625" bestFit="1" customWidth="1"/>
    <col min="33" max="33" width="5.5546875" bestFit="1" customWidth="1"/>
  </cols>
  <sheetData>
    <row r="1" spans="1:16" x14ac:dyDescent="0.3">
      <c r="A1" t="s">
        <v>43</v>
      </c>
      <c r="H1" s="40" t="s">
        <v>104</v>
      </c>
      <c r="I1" s="5"/>
      <c r="J1" s="5" t="s">
        <v>102</v>
      </c>
      <c r="K1" s="5"/>
      <c r="L1" s="6" t="s">
        <v>101</v>
      </c>
      <c r="M1" s="5" t="s">
        <v>103</v>
      </c>
      <c r="N1" s="6"/>
    </row>
    <row r="2" spans="1:16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39</v>
      </c>
      <c r="G3" s="1" t="s">
        <v>47</v>
      </c>
      <c r="H3" s="1" t="s">
        <v>48</v>
      </c>
      <c r="I3" s="1" t="s">
        <v>21</v>
      </c>
      <c r="J3" s="1" t="s">
        <v>22</v>
      </c>
      <c r="K3" s="1" t="s">
        <v>67</v>
      </c>
      <c r="L3" s="1" t="s">
        <v>97</v>
      </c>
      <c r="M3" s="1"/>
      <c r="N3" s="1"/>
      <c r="O3" s="1"/>
      <c r="P3" s="1" t="s">
        <v>38</v>
      </c>
    </row>
    <row r="4" spans="1:16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/>
      <c r="I4" s="1" t="s">
        <v>37</v>
      </c>
      <c r="J4" s="1" t="s">
        <v>37</v>
      </c>
      <c r="K4" s="1"/>
      <c r="L4" s="1"/>
      <c r="M4" s="1"/>
      <c r="N4" s="1"/>
      <c r="O4" s="1"/>
      <c r="P4" s="1" t="s">
        <v>34</v>
      </c>
    </row>
    <row r="5" spans="1:16" x14ac:dyDescent="0.3">
      <c r="A5" t="s">
        <v>19</v>
      </c>
      <c r="B5">
        <v>4028</v>
      </c>
      <c r="C5" t="s">
        <v>20</v>
      </c>
      <c r="D5">
        <v>3457</v>
      </c>
      <c r="E5" s="33">
        <f t="shared" ref="E5:E6" si="0">$B$5-D5</f>
        <v>571</v>
      </c>
      <c r="F5" s="10" cm="1">
        <f t="array" ref="F5">als(E5/1000)</f>
        <v>0.63078490714807556</v>
      </c>
      <c r="G5" s="10">
        <f>2/5</f>
        <v>0.4</v>
      </c>
      <c r="H5" s="10">
        <v>1</v>
      </c>
      <c r="I5" s="10">
        <v>-0.64182729310113495</v>
      </c>
      <c r="J5" s="10">
        <v>-2.9517520089038798</v>
      </c>
      <c r="K5" s="10">
        <f>E5/1470</f>
        <v>0.38843537414965984</v>
      </c>
      <c r="L5" s="10">
        <f t="shared" ref="L5:L26" si="1">ABS(SQRT(G5)*I5/1000+SQRT(H5)*J5/1000)*E5</f>
        <v>1.9172348409214945</v>
      </c>
      <c r="M5" s="10"/>
      <c r="N5" s="10"/>
      <c r="O5" s="10"/>
      <c r="P5" s="9">
        <f t="shared" ref="P5:P26" si="2">(4/3)*F5*(1/3)*(1/2)*E5^3*(G5*(I5/1000)^2+H5*(J5/1000)^2)</f>
        <v>231.67197486109524</v>
      </c>
    </row>
    <row r="6" spans="1:16" x14ac:dyDescent="0.3">
      <c r="B6" s="2"/>
      <c r="C6" t="s">
        <v>23</v>
      </c>
      <c r="D6">
        <v>3958</v>
      </c>
      <c r="E6" s="33">
        <f t="shared" si="0"/>
        <v>70</v>
      </c>
      <c r="F6" s="10" cm="1">
        <f t="array" ref="F6">als(E6/1000)</f>
        <v>1E-4</v>
      </c>
      <c r="G6" s="10">
        <f>2/5</f>
        <v>0.4</v>
      </c>
      <c r="H6" s="10">
        <v>1</v>
      </c>
      <c r="I6" s="10">
        <v>0.52635713535280704</v>
      </c>
      <c r="J6" s="10">
        <v>0.96553937713279503</v>
      </c>
      <c r="K6" s="10">
        <f t="shared" ref="K6:K26" si="3">E6/1470</f>
        <v>4.7619047619047616E-2</v>
      </c>
      <c r="L6" s="10">
        <f t="shared" si="1"/>
        <v>9.0890580144845329E-2</v>
      </c>
      <c r="M6" s="10"/>
      <c r="N6" s="10"/>
      <c r="O6" s="10"/>
      <c r="P6" s="9">
        <f t="shared" si="2"/>
        <v>7.9506410816103982E-6</v>
      </c>
    </row>
    <row r="7" spans="1:16" x14ac:dyDescent="0.3">
      <c r="C7" t="s">
        <v>24</v>
      </c>
      <c r="D7">
        <v>4388</v>
      </c>
      <c r="E7" s="33"/>
      <c r="F7" s="10"/>
      <c r="G7" s="10"/>
      <c r="H7" s="10"/>
      <c r="I7" s="10"/>
      <c r="J7" s="10"/>
      <c r="K7" s="10"/>
      <c r="L7" s="10"/>
      <c r="M7" s="10"/>
      <c r="N7" s="10"/>
      <c r="O7" s="10"/>
      <c r="P7" s="9"/>
    </row>
    <row r="8" spans="1:16" x14ac:dyDescent="0.3">
      <c r="C8" t="s">
        <v>25</v>
      </c>
      <c r="D8">
        <v>4774</v>
      </c>
      <c r="E8" s="33"/>
      <c r="F8" s="10"/>
      <c r="G8" s="10"/>
      <c r="H8" s="10"/>
      <c r="I8" s="10"/>
      <c r="J8" s="10"/>
      <c r="K8" s="10"/>
      <c r="L8" s="10"/>
      <c r="M8" s="10"/>
      <c r="N8" s="10"/>
      <c r="O8" s="10"/>
      <c r="P8" s="9"/>
    </row>
    <row r="9" spans="1:16" x14ac:dyDescent="0.3">
      <c r="C9" t="s">
        <v>26</v>
      </c>
      <c r="D9">
        <v>4029</v>
      </c>
      <c r="E9" s="33"/>
      <c r="F9" s="10"/>
      <c r="G9" s="10"/>
      <c r="H9" s="10"/>
      <c r="I9" s="10"/>
      <c r="J9" s="10"/>
      <c r="K9" s="10"/>
      <c r="L9" s="10"/>
      <c r="M9" s="10"/>
      <c r="N9" s="10"/>
      <c r="O9" s="10"/>
      <c r="P9" s="9"/>
    </row>
    <row r="10" spans="1:16" x14ac:dyDescent="0.3">
      <c r="C10" t="s">
        <v>27</v>
      </c>
      <c r="D10">
        <v>4441</v>
      </c>
      <c r="E10" s="33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"/>
    </row>
    <row r="11" spans="1:16" x14ac:dyDescent="0.3">
      <c r="C11" t="s">
        <v>28</v>
      </c>
      <c r="D11">
        <v>4817</v>
      </c>
      <c r="E11" s="3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"/>
    </row>
    <row r="12" spans="1:16" x14ac:dyDescent="0.3">
      <c r="C12" t="s">
        <v>29</v>
      </c>
      <c r="D12">
        <v>5807</v>
      </c>
      <c r="E12" s="33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"/>
    </row>
    <row r="13" spans="1:16" x14ac:dyDescent="0.3">
      <c r="A13" t="s">
        <v>30</v>
      </c>
      <c r="B13">
        <v>4394</v>
      </c>
      <c r="C13" t="s">
        <v>20</v>
      </c>
      <c r="D13">
        <v>3457</v>
      </c>
      <c r="E13" s="20">
        <f t="shared" ref="E13:E17" si="4">$B$13-D13</f>
        <v>937</v>
      </c>
      <c r="F13" s="10" cm="1">
        <f t="array" ref="F13">als(E13/1000)</f>
        <v>0.4231075688033421</v>
      </c>
      <c r="G13" s="10">
        <f>2/5</f>
        <v>0.4</v>
      </c>
      <c r="H13" s="10">
        <v>1</v>
      </c>
      <c r="I13" s="10">
        <v>1.3484432923668599</v>
      </c>
      <c r="J13" s="10">
        <v>0.87264051194264503</v>
      </c>
      <c r="K13" s="10">
        <f t="shared" si="3"/>
        <v>0.63741496598639458</v>
      </c>
      <c r="L13" s="31">
        <f t="shared" si="1"/>
        <v>1.6167662631282416</v>
      </c>
      <c r="M13" s="10"/>
      <c r="N13" s="10"/>
      <c r="O13" s="10"/>
      <c r="P13" s="9">
        <f t="shared" si="2"/>
        <v>115.15945318659759</v>
      </c>
    </row>
    <row r="14" spans="1:16" x14ac:dyDescent="0.3">
      <c r="B14" s="2"/>
      <c r="C14" t="s">
        <v>23</v>
      </c>
      <c r="D14">
        <v>3958</v>
      </c>
      <c r="E14" s="33">
        <f t="shared" si="4"/>
        <v>436</v>
      </c>
      <c r="F14" s="10" cm="1">
        <f t="array" ref="F14">als(E14/1000)</f>
        <v>0.90348066167248187</v>
      </c>
      <c r="G14" s="10">
        <f>2/5</f>
        <v>0.4</v>
      </c>
      <c r="H14" s="10">
        <v>1</v>
      </c>
      <c r="I14" s="10">
        <v>-2.1180220590985699</v>
      </c>
      <c r="J14" s="10">
        <v>-3.8808617062622299</v>
      </c>
      <c r="K14" s="10">
        <f t="shared" si="3"/>
        <v>0.2965986394557823</v>
      </c>
      <c r="L14" s="10">
        <f t="shared" si="1"/>
        <v>2.2761015828856963</v>
      </c>
      <c r="M14" s="10"/>
      <c r="N14" s="10"/>
      <c r="O14" s="10"/>
      <c r="P14" s="9">
        <f t="shared" si="2"/>
        <v>280.48349801896774</v>
      </c>
    </row>
    <row r="15" spans="1:16" x14ac:dyDescent="0.3">
      <c r="C15" t="s">
        <v>24</v>
      </c>
      <c r="D15">
        <v>4388</v>
      </c>
      <c r="E15" s="33">
        <f t="shared" si="4"/>
        <v>6</v>
      </c>
      <c r="F15" s="10" cm="1">
        <f t="array" ref="F15">als(E15/1000)</f>
        <v>1E-4</v>
      </c>
      <c r="G15" s="10">
        <f>2/5</f>
        <v>0.4</v>
      </c>
      <c r="H15" s="10">
        <v>1</v>
      </c>
      <c r="I15" s="10">
        <v>0.87811643606515999</v>
      </c>
      <c r="J15" s="10">
        <v>1.36443255188723</v>
      </c>
      <c r="K15" s="10">
        <f t="shared" si="3"/>
        <v>4.0816326530612249E-3</v>
      </c>
      <c r="L15" s="10">
        <f t="shared" si="1"/>
        <v>1.1518812897878017E-2</v>
      </c>
      <c r="M15" s="10"/>
      <c r="N15" s="10"/>
      <c r="O15" s="10"/>
      <c r="P15" s="9">
        <f t="shared" si="2"/>
        <v>1.0416535578070129E-8</v>
      </c>
    </row>
    <row r="16" spans="1:16" x14ac:dyDescent="0.3">
      <c r="C16" t="s">
        <v>25</v>
      </c>
      <c r="D16">
        <v>4774</v>
      </c>
      <c r="E16" s="33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"/>
    </row>
    <row r="17" spans="1:16" x14ac:dyDescent="0.3">
      <c r="C17" t="s">
        <v>26</v>
      </c>
      <c r="D17">
        <v>4029</v>
      </c>
      <c r="E17" s="33">
        <f t="shared" si="4"/>
        <v>365</v>
      </c>
      <c r="F17" s="10" cm="1">
        <f t="array" ref="F17">als(E17/1000)</f>
        <v>1</v>
      </c>
      <c r="G17" s="10">
        <f>3/5</f>
        <v>0.6</v>
      </c>
      <c r="H17" s="10"/>
      <c r="I17" s="10">
        <v>2.4172755393209799</v>
      </c>
      <c r="J17" s="10"/>
      <c r="K17" s="10">
        <f t="shared" si="3"/>
        <v>0.24829931972789115</v>
      </c>
      <c r="L17" s="10">
        <f t="shared" si="1"/>
        <v>0.68343095720988367</v>
      </c>
      <c r="M17" s="10"/>
      <c r="N17" s="10"/>
      <c r="O17" s="10"/>
      <c r="P17" s="9">
        <f t="shared" si="2"/>
        <v>37.885205276572997</v>
      </c>
    </row>
    <row r="18" spans="1:16" x14ac:dyDescent="0.3">
      <c r="C18" t="s">
        <v>27</v>
      </c>
      <c r="D18">
        <v>4441</v>
      </c>
      <c r="E18" s="33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"/>
    </row>
    <row r="19" spans="1:16" x14ac:dyDescent="0.3">
      <c r="C19" t="s">
        <v>28</v>
      </c>
      <c r="D19">
        <v>4817</v>
      </c>
      <c r="E19" s="33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"/>
    </row>
    <row r="20" spans="1:16" x14ac:dyDescent="0.3">
      <c r="C20" t="s">
        <v>29</v>
      </c>
      <c r="D20">
        <v>5807</v>
      </c>
      <c r="E20" s="33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"/>
    </row>
    <row r="21" spans="1:16" x14ac:dyDescent="0.3">
      <c r="A21" t="s">
        <v>53</v>
      </c>
      <c r="B21">
        <v>4678</v>
      </c>
      <c r="C21" t="s">
        <v>20</v>
      </c>
      <c r="D21">
        <v>3457</v>
      </c>
      <c r="E21" s="20">
        <f t="shared" ref="E21:E26" si="5">$B$21-D21</f>
        <v>1221</v>
      </c>
      <c r="F21" s="10" cm="1">
        <f t="array" ref="F21">als(E21/1000)</f>
        <v>0.3635192272901806</v>
      </c>
      <c r="G21" s="10">
        <f>2/5</f>
        <v>0.4</v>
      </c>
      <c r="H21" s="10">
        <v>1</v>
      </c>
      <c r="I21" s="10">
        <v>2.9219114436132898</v>
      </c>
      <c r="J21" s="10">
        <v>-1.04919109201007</v>
      </c>
      <c r="K21" s="10">
        <f t="shared" si="3"/>
        <v>0.83061224489795915</v>
      </c>
      <c r="L21" s="31">
        <f t="shared" si="1"/>
        <v>0.97532010479571996</v>
      </c>
      <c r="M21" s="10"/>
      <c r="N21" s="10"/>
      <c r="O21" s="10"/>
      <c r="P21" s="9">
        <f t="shared" si="2"/>
        <v>664.0477487707401</v>
      </c>
    </row>
    <row r="22" spans="1:16" x14ac:dyDescent="0.3">
      <c r="B22" s="2"/>
      <c r="C22" t="s">
        <v>23</v>
      </c>
      <c r="D22">
        <v>3958</v>
      </c>
      <c r="E22" s="33">
        <f t="shared" si="5"/>
        <v>720</v>
      </c>
      <c r="F22" s="10" cm="1">
        <f t="array" ref="F22">als(E22/1000)</f>
        <v>0.50976975641358935</v>
      </c>
      <c r="G22" s="10">
        <f>2/5</f>
        <v>0.4</v>
      </c>
      <c r="H22" s="10">
        <v>1</v>
      </c>
      <c r="I22" s="10">
        <v>-2.1623336856695898</v>
      </c>
      <c r="J22" s="10">
        <v>2.24723936748333</v>
      </c>
      <c r="K22" s="10">
        <f t="shared" si="3"/>
        <v>0.48979591836734693</v>
      </c>
      <c r="L22" s="10">
        <f t="shared" si="1"/>
        <v>0.63335481543275784</v>
      </c>
      <c r="M22" s="10"/>
      <c r="N22" s="10"/>
      <c r="O22" s="10"/>
      <c r="P22" s="9">
        <f t="shared" si="2"/>
        <v>292.6090144430691</v>
      </c>
    </row>
    <row r="23" spans="1:16" x14ac:dyDescent="0.3">
      <c r="C23" t="s">
        <v>24</v>
      </c>
      <c r="D23">
        <v>4388</v>
      </c>
      <c r="E23" s="33">
        <f t="shared" si="5"/>
        <v>290</v>
      </c>
      <c r="F23" s="10" cm="1">
        <f t="array" ref="F23">als(E23/1000)</f>
        <v>1</v>
      </c>
      <c r="G23" s="10">
        <f>2/5</f>
        <v>0.4</v>
      </c>
      <c r="H23" s="10">
        <v>1</v>
      </c>
      <c r="I23" s="10">
        <v>-0.47828712478309399</v>
      </c>
      <c r="J23" s="10">
        <v>-1.0799266807204499</v>
      </c>
      <c r="K23" s="10">
        <f t="shared" si="3"/>
        <v>0.19727891156462585</v>
      </c>
      <c r="L23" s="10">
        <f t="shared" si="1"/>
        <v>0.40090238542009959</v>
      </c>
      <c r="M23" s="10"/>
      <c r="N23" s="10"/>
      <c r="O23" s="10"/>
      <c r="P23" s="9">
        <f t="shared" si="2"/>
        <v>6.8166987546172004</v>
      </c>
    </row>
    <row r="24" spans="1:16" x14ac:dyDescent="0.3">
      <c r="C24" t="s">
        <v>25</v>
      </c>
      <c r="D24">
        <v>4774</v>
      </c>
      <c r="E24" s="33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"/>
    </row>
    <row r="25" spans="1:16" x14ac:dyDescent="0.3">
      <c r="C25" t="s">
        <v>26</v>
      </c>
      <c r="D25">
        <v>4029</v>
      </c>
      <c r="E25" s="33">
        <f t="shared" si="5"/>
        <v>649</v>
      </c>
      <c r="F25" s="10" cm="1">
        <f t="array" ref="F25">als(E25/1000)</f>
        <v>0.5566287406699838</v>
      </c>
      <c r="G25" s="10">
        <f>3/5</f>
        <v>0.6</v>
      </c>
      <c r="H25" s="10"/>
      <c r="I25" s="10">
        <v>3.6192566387101901</v>
      </c>
      <c r="J25" s="10"/>
      <c r="K25" s="10">
        <f t="shared" si="3"/>
        <v>0.44149659863945578</v>
      </c>
      <c r="L25" s="10">
        <f t="shared" si="1"/>
        <v>1.8194482252213011</v>
      </c>
      <c r="M25" s="10"/>
      <c r="N25" s="10"/>
      <c r="O25" s="10"/>
      <c r="P25" s="9">
        <f t="shared" si="2"/>
        <v>265.75241088076763</v>
      </c>
    </row>
    <row r="26" spans="1:16" x14ac:dyDescent="0.3">
      <c r="C26" t="s">
        <v>27</v>
      </c>
      <c r="D26">
        <v>4441</v>
      </c>
      <c r="E26" s="33">
        <f t="shared" si="5"/>
        <v>237</v>
      </c>
      <c r="F26" s="10" cm="1">
        <f t="array" ref="F26">als(E26/1000)</f>
        <v>1</v>
      </c>
      <c r="G26" s="10">
        <f>3/5</f>
        <v>0.6</v>
      </c>
      <c r="H26" s="10"/>
      <c r="I26" s="10">
        <v>0.58638517029980697</v>
      </c>
      <c r="J26" s="10"/>
      <c r="K26" s="10">
        <f t="shared" si="3"/>
        <v>0.16122448979591836</v>
      </c>
      <c r="L26" s="10">
        <f t="shared" si="1"/>
        <v>0.10764824395421882</v>
      </c>
      <c r="M26" s="10"/>
      <c r="N26" s="10"/>
      <c r="O26" s="10"/>
      <c r="P26" s="9">
        <f t="shared" si="2"/>
        <v>0.61030893979182244</v>
      </c>
    </row>
    <row r="27" spans="1:16" x14ac:dyDescent="0.3">
      <c r="C27" t="s">
        <v>28</v>
      </c>
      <c r="D27">
        <v>4817</v>
      </c>
      <c r="E27" s="33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"/>
    </row>
    <row r="28" spans="1:16" x14ac:dyDescent="0.3">
      <c r="C28" t="s">
        <v>29</v>
      </c>
      <c r="D28">
        <v>5807</v>
      </c>
      <c r="E28" s="33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"/>
    </row>
    <row r="30" spans="1:16" x14ac:dyDescent="0.3">
      <c r="A30" s="2"/>
      <c r="B30" s="2"/>
    </row>
    <row r="31" spans="1:16" x14ac:dyDescent="0.3">
      <c r="A31" s="2"/>
    </row>
    <row r="35" spans="1:33" x14ac:dyDescent="0.3">
      <c r="A35" t="s">
        <v>43</v>
      </c>
      <c r="H35" s="40" t="s">
        <v>104</v>
      </c>
      <c r="I35" s="5"/>
      <c r="J35" s="5" t="s">
        <v>102</v>
      </c>
      <c r="K35" s="5"/>
      <c r="L35" s="6" t="s">
        <v>101</v>
      </c>
      <c r="M35" s="5" t="s">
        <v>103</v>
      </c>
      <c r="N35" s="6"/>
    </row>
    <row r="36" spans="1:33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U36" s="21"/>
    </row>
    <row r="37" spans="1:33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39</v>
      </c>
      <c r="G37" s="1" t="s">
        <v>40</v>
      </c>
      <c r="H37" s="1" t="s">
        <v>41</v>
      </c>
      <c r="I37" s="1" t="s">
        <v>21</v>
      </c>
      <c r="J37" s="1" t="s">
        <v>22</v>
      </c>
      <c r="K37" s="1" t="s">
        <v>67</v>
      </c>
      <c r="L37" s="1" t="s">
        <v>98</v>
      </c>
      <c r="M37" s="27" t="s">
        <v>73</v>
      </c>
      <c r="N37" s="27" t="s">
        <v>74</v>
      </c>
      <c r="O37" s="27" t="s">
        <v>78</v>
      </c>
      <c r="P37" s="1" t="s">
        <v>38</v>
      </c>
    </row>
    <row r="38" spans="1:33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/>
      <c r="I38" s="1" t="s">
        <v>37</v>
      </c>
      <c r="J38" s="1" t="s">
        <v>37</v>
      </c>
      <c r="K38" s="1"/>
      <c r="L38" s="1"/>
      <c r="M38" s="27" t="s">
        <v>95</v>
      </c>
      <c r="N38" s="27" t="s">
        <v>95</v>
      </c>
      <c r="O38" s="27"/>
      <c r="P38" s="1" t="s">
        <v>34</v>
      </c>
    </row>
    <row r="39" spans="1:33" x14ac:dyDescent="0.3">
      <c r="A39" t="s">
        <v>19</v>
      </c>
      <c r="B39">
        <v>10704</v>
      </c>
      <c r="C39" t="s">
        <v>20</v>
      </c>
      <c r="D39">
        <v>9879</v>
      </c>
      <c r="E39">
        <f t="shared" ref="E39:E44" si="6">$B$39-D39</f>
        <v>825</v>
      </c>
      <c r="F39" s="3" cm="1">
        <f t="array" ref="F39">als(E39/1000)</f>
        <v>0.46043190687150259</v>
      </c>
      <c r="G39" s="4">
        <f>2/5</f>
        <v>0.4</v>
      </c>
      <c r="H39" s="4">
        <v>1</v>
      </c>
      <c r="I39" s="3">
        <v>-0.47846134176518801</v>
      </c>
      <c r="J39" s="3">
        <v>-1.9786334516647399</v>
      </c>
      <c r="K39" s="3">
        <f>E39/4800</f>
        <v>0.171875</v>
      </c>
      <c r="L39" s="47">
        <f t="shared" ref="L39:L62" si="7">ABS(SQRT(G39)*I39/1000+SQRT(H39)*J39/1000)*E39</f>
        <v>1.8820221536559203</v>
      </c>
      <c r="M39" s="3">
        <f>1000*L39/E39</f>
        <v>2.2812389741283883</v>
      </c>
      <c r="N39" s="3">
        <v>1.9846116902480599</v>
      </c>
      <c r="O39" s="3" cm="1">
        <f t="array" ref="O39">(E39+2*D39-10537-VgB(N39)*1000)/4880</f>
        <v>8.836863612032958E-2</v>
      </c>
      <c r="P39" s="9">
        <f t="shared" ref="P39:P62" si="8">(4/3)*F39*(1/3)*(1/2)*E39^3*(G39*(I39/1000)^2+H39*(J39/1000)^2)</f>
        <v>230.18999414125867</v>
      </c>
    </row>
    <row r="40" spans="1:33" x14ac:dyDescent="0.3">
      <c r="B40" s="2"/>
      <c r="C40" t="s">
        <v>23</v>
      </c>
      <c r="D40">
        <v>10234</v>
      </c>
      <c r="E40" s="33">
        <f t="shared" si="6"/>
        <v>470</v>
      </c>
      <c r="F40" s="3" cm="1">
        <f t="array" ref="F40">als(E40/1000)</f>
        <v>0.80354403807478014</v>
      </c>
      <c r="G40" s="4">
        <f>2/5</f>
        <v>0.4</v>
      </c>
      <c r="H40" s="4">
        <v>1</v>
      </c>
      <c r="I40" s="3">
        <v>0.59095698517449402</v>
      </c>
      <c r="J40" s="3">
        <v>1.2256599558471999</v>
      </c>
      <c r="K40" s="3">
        <f t="shared" ref="K40:K61" si="9">E40/4800</f>
        <v>9.7916666666666666E-2</v>
      </c>
      <c r="L40" s="3">
        <f t="shared" si="7"/>
        <v>0.75172456604793325</v>
      </c>
      <c r="M40" s="3">
        <f t="shared" ref="M40:M62" si="10">1000*L40/E40</f>
        <v>1.5994139703147514</v>
      </c>
      <c r="N40" s="3">
        <v>3.0300779091087202</v>
      </c>
      <c r="O40" s="3" cm="1">
        <f t="array" ref="O40">(E40+2*D40-10537-VgB(N40)*1000)/4880</f>
        <v>0.10650392084965117</v>
      </c>
      <c r="P40" s="9">
        <f t="shared" si="8"/>
        <v>30.440132784716223</v>
      </c>
      <c r="U40" s="3"/>
      <c r="V40" s="4"/>
      <c r="W40" s="4"/>
      <c r="X40" s="3"/>
      <c r="Y40" s="3"/>
      <c r="Z40" s="3"/>
      <c r="AA40" s="7"/>
      <c r="AB40" s="10"/>
      <c r="AC40" s="10"/>
      <c r="AD40" s="10"/>
      <c r="AE40" s="10"/>
      <c r="AF40" s="10"/>
      <c r="AG40" s="7"/>
    </row>
    <row r="41" spans="1:33" x14ac:dyDescent="0.3">
      <c r="C41" t="s">
        <v>24</v>
      </c>
      <c r="D41">
        <v>10532</v>
      </c>
      <c r="E41" s="33">
        <f t="shared" si="6"/>
        <v>172</v>
      </c>
      <c r="F41" s="3" cm="1">
        <f t="array" ref="F41">als(E41/1000)</f>
        <v>1</v>
      </c>
      <c r="G41" s="4">
        <f>2/5</f>
        <v>0.4</v>
      </c>
      <c r="H41" s="4">
        <v>1</v>
      </c>
      <c r="I41" s="3">
        <v>-0.15066835436251799</v>
      </c>
      <c r="J41" s="3">
        <v>-0.165821988794459</v>
      </c>
      <c r="K41" s="3">
        <f t="shared" si="9"/>
        <v>3.5833333333333335E-2</v>
      </c>
      <c r="L41" s="3">
        <f t="shared" si="7"/>
        <v>4.4911439958312323E-2</v>
      </c>
      <c r="M41" s="3">
        <f t="shared" si="10"/>
        <v>0.26111302301344375</v>
      </c>
      <c r="N41" s="3">
        <v>3.92262981545097</v>
      </c>
      <c r="O41" s="3" cm="1">
        <f t="array" ref="O41">(E41+2*D41-10537-VgB(N41)*1000)/4880</f>
        <v>0.12455287566769033</v>
      </c>
      <c r="P41" s="9">
        <f t="shared" si="8"/>
        <v>4.1360390232589202E-2</v>
      </c>
      <c r="U41" s="3"/>
      <c r="V41" s="4"/>
      <c r="W41" s="4"/>
      <c r="X41" s="3"/>
      <c r="Y41" s="3"/>
      <c r="Z41" s="3"/>
      <c r="AA41" s="7"/>
      <c r="AB41" s="10"/>
      <c r="AC41" s="10"/>
      <c r="AD41" s="10"/>
      <c r="AE41" s="10"/>
      <c r="AF41" s="10"/>
      <c r="AG41" s="7"/>
    </row>
    <row r="42" spans="1:33" x14ac:dyDescent="0.3">
      <c r="C42" t="s">
        <v>25</v>
      </c>
      <c r="D42">
        <v>10798</v>
      </c>
      <c r="E42" s="33"/>
      <c r="F42" s="3"/>
      <c r="G42" s="4"/>
      <c r="H42" s="4"/>
      <c r="I42" s="3"/>
      <c r="J42" s="3"/>
      <c r="K42" s="3"/>
      <c r="L42" s="3"/>
      <c r="M42" s="3"/>
      <c r="N42" s="3"/>
      <c r="O42" s="3"/>
      <c r="P42" s="9"/>
      <c r="Q42" s="2"/>
      <c r="U42" s="3"/>
      <c r="V42" s="4"/>
      <c r="W42" s="4"/>
      <c r="X42" s="3"/>
      <c r="Y42" s="3"/>
      <c r="Z42" s="3"/>
      <c r="AA42" s="7"/>
      <c r="AB42" s="10"/>
      <c r="AC42" s="10"/>
      <c r="AD42" s="10"/>
      <c r="AE42" s="10"/>
      <c r="AF42" s="10"/>
      <c r="AG42" s="7"/>
    </row>
    <row r="43" spans="1:33" x14ac:dyDescent="0.3">
      <c r="C43" t="s">
        <v>26</v>
      </c>
      <c r="D43">
        <v>10297</v>
      </c>
      <c r="E43" s="33">
        <f t="shared" si="6"/>
        <v>407</v>
      </c>
      <c r="F43" s="3" cm="1">
        <f t="array" ref="F43">als(E43/1000)</f>
        <v>1</v>
      </c>
      <c r="G43" s="4">
        <f>3/5</f>
        <v>0.6</v>
      </c>
      <c r="H43" s="4"/>
      <c r="I43" s="3">
        <v>-0.757106677031675</v>
      </c>
      <c r="J43" s="3"/>
      <c r="K43" s="3">
        <f t="shared" si="9"/>
        <v>8.4791666666666668E-2</v>
      </c>
      <c r="L43" s="3">
        <f t="shared" si="7"/>
        <v>0.23868609028771373</v>
      </c>
      <c r="M43" s="3">
        <f t="shared" si="10"/>
        <v>0.58645231028922296</v>
      </c>
      <c r="N43" s="3">
        <v>3.17741242753138</v>
      </c>
      <c r="O43" s="3" cm="1">
        <f t="array" ref="O43">(E43+2*D43-10537-VgB(N43)*1000)/4880</f>
        <v>0.11216997698351906</v>
      </c>
      <c r="P43" s="9">
        <f t="shared" si="8"/>
        <v>5.1527149392470424</v>
      </c>
    </row>
    <row r="44" spans="1:33" x14ac:dyDescent="0.3">
      <c r="C44" t="s">
        <v>27</v>
      </c>
      <c r="D44">
        <v>10579</v>
      </c>
      <c r="E44" s="33">
        <f t="shared" si="6"/>
        <v>125</v>
      </c>
      <c r="F44" s="3" cm="1">
        <f t="array" ref="F44">als(E44/1000)</f>
        <v>1</v>
      </c>
      <c r="G44" s="4">
        <f>3/5</f>
        <v>0.6</v>
      </c>
      <c r="H44" s="4"/>
      <c r="I44" s="3">
        <v>0.167156068030761</v>
      </c>
      <c r="J44" s="3"/>
      <c r="K44" s="3">
        <f t="shared" si="9"/>
        <v>2.6041666666666668E-2</v>
      </c>
      <c r="L44" s="3">
        <f t="shared" si="7"/>
        <v>1.6184816692516285E-2</v>
      </c>
      <c r="M44" s="3">
        <f t="shared" si="10"/>
        <v>0.12947853354013028</v>
      </c>
      <c r="N44" s="3">
        <v>4.0303377753673901</v>
      </c>
      <c r="O44" s="3" cm="1">
        <f t="array" ref="O44">(E44+2*D44-10537-VgB(N44)*1000)/4880</f>
        <v>0.12910363465424013</v>
      </c>
      <c r="P44" s="9">
        <f t="shared" si="8"/>
        <v>7.2763414269542692E-3</v>
      </c>
    </row>
    <row r="45" spans="1:33" x14ac:dyDescent="0.3">
      <c r="C45" t="s">
        <v>28</v>
      </c>
      <c r="D45">
        <v>10835</v>
      </c>
      <c r="E45" s="33"/>
      <c r="F45" s="3"/>
      <c r="G45" s="4"/>
      <c r="H45" s="4"/>
      <c r="I45" s="3"/>
      <c r="J45" s="3"/>
      <c r="K45" s="3"/>
      <c r="L45" s="3"/>
      <c r="M45" s="3"/>
      <c r="N45" s="3"/>
      <c r="O45" s="3"/>
      <c r="P45" s="9"/>
    </row>
    <row r="46" spans="1:33" x14ac:dyDescent="0.3">
      <c r="C46" t="s">
        <v>29</v>
      </c>
      <c r="D46">
        <v>11072</v>
      </c>
      <c r="E46" s="33"/>
      <c r="F46" s="3"/>
      <c r="G46" s="4"/>
      <c r="H46" s="4"/>
      <c r="I46" s="3"/>
      <c r="J46" s="3"/>
      <c r="K46" s="3"/>
      <c r="L46" s="3"/>
      <c r="M46" s="3"/>
      <c r="N46" s="3"/>
      <c r="O46" s="3"/>
      <c r="P46" s="9"/>
    </row>
    <row r="47" spans="1:33" x14ac:dyDescent="0.3">
      <c r="A47" s="13" t="s">
        <v>30</v>
      </c>
      <c r="B47" s="13">
        <v>10905</v>
      </c>
      <c r="C47" s="13" t="s">
        <v>20</v>
      </c>
      <c r="D47" s="13">
        <v>9879</v>
      </c>
      <c r="E47" s="13">
        <f t="shared" ref="E47:E53" si="11">$B$47-D47</f>
        <v>1026</v>
      </c>
      <c r="F47" s="15" cm="1">
        <f t="array" ref="F47">als(E47/1000)</f>
        <v>0.40036485833508612</v>
      </c>
      <c r="G47" s="14">
        <f>2/5</f>
        <v>0.4</v>
      </c>
      <c r="H47" s="14">
        <v>1</v>
      </c>
      <c r="I47" s="15">
        <v>0.67982050166739905</v>
      </c>
      <c r="J47" s="15">
        <v>2.2498917555790102E-2</v>
      </c>
      <c r="K47" s="15">
        <f t="shared" si="9"/>
        <v>0.21375</v>
      </c>
      <c r="L47" s="15">
        <f t="shared" si="7"/>
        <v>0.46421898864550176</v>
      </c>
      <c r="M47" s="15">
        <f t="shared" si="10"/>
        <v>0.45245515462524538</v>
      </c>
      <c r="N47" s="15">
        <v>1.9846116902480599</v>
      </c>
      <c r="O47" s="15">
        <v>1.9846116902480599</v>
      </c>
      <c r="P47" s="12">
        <f t="shared" si="8"/>
        <v>17.812366074418502</v>
      </c>
    </row>
    <row r="48" spans="1:33" x14ac:dyDescent="0.3">
      <c r="B48" s="2"/>
      <c r="C48" t="s">
        <v>23</v>
      </c>
      <c r="D48">
        <v>10234</v>
      </c>
      <c r="E48" s="33">
        <f t="shared" si="11"/>
        <v>671</v>
      </c>
      <c r="F48" s="3" cm="1">
        <f t="array" ref="F48">als(E48/1000)</f>
        <v>0.54051527163302737</v>
      </c>
      <c r="G48" s="4">
        <f>2/5</f>
        <v>0.4</v>
      </c>
      <c r="H48" s="4">
        <v>1</v>
      </c>
      <c r="I48" s="3">
        <v>-1.49199789569688</v>
      </c>
      <c r="J48" s="3">
        <v>-2.4413556973631199</v>
      </c>
      <c r="K48" s="3">
        <f t="shared" si="9"/>
        <v>0.13979166666666668</v>
      </c>
      <c r="L48" s="3">
        <f t="shared" si="7"/>
        <v>2.2713202516073534</v>
      </c>
      <c r="M48" s="3">
        <f t="shared" si="10"/>
        <v>3.384978020279215</v>
      </c>
      <c r="N48" s="3">
        <v>3.0300779091087202</v>
      </c>
      <c r="O48" s="3">
        <v>3.0300779091087202</v>
      </c>
      <c r="P48" s="9">
        <f t="shared" si="8"/>
        <v>248.59604094419043</v>
      </c>
    </row>
    <row r="49" spans="1:20" x14ac:dyDescent="0.3">
      <c r="C49" t="s">
        <v>24</v>
      </c>
      <c r="D49">
        <v>10532</v>
      </c>
      <c r="E49" s="33">
        <f t="shared" si="11"/>
        <v>373</v>
      </c>
      <c r="F49" s="3" cm="1">
        <f t="array" ref="F49">als(E49/1000)</f>
        <v>1</v>
      </c>
      <c r="G49" s="4">
        <f>2/5</f>
        <v>0.4</v>
      </c>
      <c r="H49" s="4">
        <v>1</v>
      </c>
      <c r="I49" s="3">
        <v>1.0641084839152399</v>
      </c>
      <c r="J49" s="3">
        <v>1.76001590964784</v>
      </c>
      <c r="K49" s="3">
        <f t="shared" si="9"/>
        <v>7.7708333333333338E-2</v>
      </c>
      <c r="L49" s="3">
        <f t="shared" si="7"/>
        <v>0.90751541820503256</v>
      </c>
      <c r="M49" s="3">
        <f t="shared" si="10"/>
        <v>2.4330172069840015</v>
      </c>
      <c r="N49" s="3">
        <v>3.92262981545097</v>
      </c>
      <c r="O49" s="3">
        <v>3.92262981545097</v>
      </c>
      <c r="P49" s="9">
        <f t="shared" si="8"/>
        <v>40.946247717423844</v>
      </c>
    </row>
    <row r="50" spans="1:20" x14ac:dyDescent="0.3">
      <c r="C50" t="s">
        <v>25</v>
      </c>
      <c r="D50">
        <v>10798</v>
      </c>
      <c r="E50" s="33">
        <f t="shared" si="11"/>
        <v>107</v>
      </c>
      <c r="F50" s="3" cm="1">
        <f t="array" ref="F50">als(E50/1000)</f>
        <v>1</v>
      </c>
      <c r="G50" s="4">
        <f>2/5</f>
        <v>0.4</v>
      </c>
      <c r="H50" s="4">
        <v>1</v>
      </c>
      <c r="I50" s="3">
        <v>-0.19949412871659999</v>
      </c>
      <c r="J50" s="3">
        <v>-0.23633325246519901</v>
      </c>
      <c r="K50" s="3">
        <f t="shared" si="9"/>
        <v>2.2291666666666668E-2</v>
      </c>
      <c r="L50" s="3">
        <f t="shared" si="7"/>
        <v>3.8787972702486843E-2</v>
      </c>
      <c r="M50" s="3">
        <f t="shared" si="10"/>
        <v>0.36250441778025083</v>
      </c>
      <c r="N50" s="3">
        <v>4.72502535854019</v>
      </c>
      <c r="O50" s="3">
        <v>4.72502535854019</v>
      </c>
      <c r="P50" s="9">
        <f t="shared" si="8"/>
        <v>1.9538774102934052E-2</v>
      </c>
    </row>
    <row r="51" spans="1:20" x14ac:dyDescent="0.3">
      <c r="C51" t="s">
        <v>26</v>
      </c>
      <c r="D51">
        <v>10297</v>
      </c>
      <c r="E51" s="33">
        <f t="shared" si="11"/>
        <v>608</v>
      </c>
      <c r="F51" s="3" cm="1">
        <f t="array" ref="F51">als(E51/1000)</f>
        <v>0.59169859940240321</v>
      </c>
      <c r="G51" s="4">
        <f>3/5</f>
        <v>0.6</v>
      </c>
      <c r="H51" s="4"/>
      <c r="I51" s="3">
        <v>1.5438101853133099</v>
      </c>
      <c r="J51" s="3"/>
      <c r="K51" s="3">
        <f t="shared" si="9"/>
        <v>0.12666666666666668</v>
      </c>
      <c r="L51" s="3">
        <f t="shared" si="7"/>
        <v>0.72706477831073846</v>
      </c>
      <c r="M51" s="3">
        <f t="shared" si="10"/>
        <v>1.1958302274847672</v>
      </c>
      <c r="N51" s="3">
        <v>3.17741242753138</v>
      </c>
      <c r="O51" s="3">
        <v>3.17741242753138</v>
      </c>
      <c r="P51" s="9">
        <f t="shared" si="8"/>
        <v>42.260810257557992</v>
      </c>
    </row>
    <row r="52" spans="1:20" x14ac:dyDescent="0.3">
      <c r="C52" t="s">
        <v>27</v>
      </c>
      <c r="D52">
        <v>10579</v>
      </c>
      <c r="E52" s="33">
        <f t="shared" si="11"/>
        <v>326</v>
      </c>
      <c r="F52" s="3" cm="1">
        <f t="array" ref="F52">als(E52/1000)</f>
        <v>1</v>
      </c>
      <c r="G52" s="4">
        <f>3/5</f>
        <v>0.6</v>
      </c>
      <c r="H52" s="4"/>
      <c r="I52" s="3">
        <v>-1.2011568054275099</v>
      </c>
      <c r="J52" s="3"/>
      <c r="K52" s="3">
        <f t="shared" si="9"/>
        <v>6.7916666666666667E-2</v>
      </c>
      <c r="L52" s="3">
        <f t="shared" si="7"/>
        <v>0.30331433179501005</v>
      </c>
      <c r="M52" s="3">
        <f t="shared" si="10"/>
        <v>0.93041206072088967</v>
      </c>
      <c r="N52" s="3">
        <v>4.0303377753673901</v>
      </c>
      <c r="O52" s="3">
        <v>4.0303377753673901</v>
      </c>
      <c r="P52" s="9">
        <f t="shared" si="8"/>
        <v>6.6648587427454711</v>
      </c>
      <c r="Q52" s="16"/>
    </row>
    <row r="53" spans="1:20" x14ac:dyDescent="0.3">
      <c r="C53" t="s">
        <v>28</v>
      </c>
      <c r="D53">
        <v>10835</v>
      </c>
      <c r="E53" s="33">
        <f t="shared" si="11"/>
        <v>70</v>
      </c>
      <c r="F53" s="3" cm="1">
        <f t="array" ref="F53">als(E53/1000)</f>
        <v>1E-4</v>
      </c>
      <c r="G53" s="4">
        <f>3/5</f>
        <v>0.6</v>
      </c>
      <c r="H53" s="4"/>
      <c r="I53" s="3">
        <v>0.19180600545033399</v>
      </c>
      <c r="J53" s="3"/>
      <c r="K53" s="3">
        <f t="shared" si="9"/>
        <v>1.4583333333333334E-2</v>
      </c>
      <c r="L53" s="3">
        <f t="shared" si="7"/>
        <v>1.0400060507363978E-2</v>
      </c>
      <c r="M53" s="3">
        <f t="shared" si="10"/>
        <v>0.14857229296234253</v>
      </c>
      <c r="N53" s="3">
        <v>4.8094209792760196</v>
      </c>
      <c r="O53" s="3">
        <v>4.8094209792760196</v>
      </c>
      <c r="P53" s="9">
        <f t="shared" si="8"/>
        <v>1.6825084664396065E-7</v>
      </c>
    </row>
    <row r="54" spans="1:20" x14ac:dyDescent="0.3">
      <c r="C54" t="s">
        <v>29</v>
      </c>
      <c r="D54">
        <v>11072</v>
      </c>
      <c r="E54" s="33"/>
      <c r="F54" s="3"/>
      <c r="G54" s="4"/>
      <c r="H54" s="4"/>
      <c r="I54" s="3"/>
      <c r="J54" s="3"/>
      <c r="K54" s="3"/>
      <c r="L54" s="3"/>
      <c r="M54" s="3"/>
      <c r="N54" s="3"/>
      <c r="O54" s="3"/>
      <c r="P54" s="9"/>
    </row>
    <row r="55" spans="1:20" x14ac:dyDescent="0.3">
      <c r="A55" s="13" t="s">
        <v>53</v>
      </c>
      <c r="B55" s="13">
        <v>11103</v>
      </c>
      <c r="C55" s="13" t="s">
        <v>20</v>
      </c>
      <c r="D55" s="13">
        <v>9879</v>
      </c>
      <c r="E55" s="63">
        <f t="shared" ref="E55:E62" si="12">$B$55-D55</f>
        <v>1224</v>
      </c>
      <c r="F55" s="15" cm="1">
        <f t="array" ref="F55">als(E55/1000)</f>
        <v>0.36305262439684222</v>
      </c>
      <c r="G55" s="14">
        <f>2/5</f>
        <v>0.4</v>
      </c>
      <c r="H55" s="14">
        <v>1</v>
      </c>
      <c r="I55" s="15">
        <v>1.48454989641962</v>
      </c>
      <c r="J55" s="15">
        <v>-0.19440174576783101</v>
      </c>
      <c r="K55" s="15">
        <f t="shared" si="9"/>
        <v>0.255</v>
      </c>
      <c r="L55" s="15">
        <f t="shared" si="7"/>
        <v>0.91128029973460034</v>
      </c>
      <c r="M55" s="15">
        <f t="shared" si="10"/>
        <v>0.74451004880277805</v>
      </c>
      <c r="N55" s="15">
        <v>1.9846116902480599</v>
      </c>
      <c r="O55" s="15" cm="1">
        <f t="array" ref="O55">(E55+2*D55-10537-VgB(N55)*1000)/4880</f>
        <v>0.1701309312022968</v>
      </c>
      <c r="P55" s="12">
        <f t="shared" si="8"/>
        <v>136.01317254933107</v>
      </c>
    </row>
    <row r="56" spans="1:20" x14ac:dyDescent="0.3">
      <c r="A56" s="13"/>
      <c r="B56" s="17"/>
      <c r="C56" s="13" t="s">
        <v>23</v>
      </c>
      <c r="D56" s="13">
        <v>10234</v>
      </c>
      <c r="E56" s="13">
        <f t="shared" si="12"/>
        <v>869</v>
      </c>
      <c r="F56" s="15" cm="1">
        <f t="array" ref="F56">als(E56/1000)</f>
        <v>0.44432949086756296</v>
      </c>
      <c r="G56" s="14">
        <f>2/5</f>
        <v>0.4</v>
      </c>
      <c r="H56" s="14">
        <v>1</v>
      </c>
      <c r="I56" s="15">
        <v>-0.92357776136122105</v>
      </c>
      <c r="J56" s="15">
        <v>0.93750755264869401</v>
      </c>
      <c r="K56" s="15">
        <f t="shared" si="9"/>
        <v>0.18104166666666666</v>
      </c>
      <c r="L56" s="15">
        <f t="shared" si="7"/>
        <v>0.30709216305667258</v>
      </c>
      <c r="M56" s="15">
        <f t="shared" si="10"/>
        <v>0.3533856882125116</v>
      </c>
      <c r="N56" s="15">
        <v>3.0300779091087202</v>
      </c>
      <c r="O56" s="15" cm="1">
        <f t="array" ref="O56">(E56+2*D56-10537-VgB(N56)*1000)/4880</f>
        <v>0.18826621593161838</v>
      </c>
      <c r="P56" s="12">
        <f t="shared" si="8"/>
        <v>79.059499499670352</v>
      </c>
    </row>
    <row r="57" spans="1:20" x14ac:dyDescent="0.3">
      <c r="C57" t="s">
        <v>24</v>
      </c>
      <c r="D57">
        <v>10532</v>
      </c>
      <c r="E57" s="33">
        <f t="shared" si="12"/>
        <v>571</v>
      </c>
      <c r="F57" s="3" cm="1">
        <f t="array" ref="F57">als(E57/1000)</f>
        <v>0.63078490714807556</v>
      </c>
      <c r="G57" s="4">
        <f>2/5</f>
        <v>0.4</v>
      </c>
      <c r="H57" s="4">
        <v>1</v>
      </c>
      <c r="I57" s="3">
        <v>-1.30473381295711</v>
      </c>
      <c r="J57" s="3">
        <v>-2.5910803302097598</v>
      </c>
      <c r="K57" s="3">
        <f t="shared" si="9"/>
        <v>0.11895833333333333</v>
      </c>
      <c r="L57" s="3">
        <f t="shared" si="7"/>
        <v>1.9506881418341946</v>
      </c>
      <c r="M57" s="3">
        <f t="shared" si="10"/>
        <v>3.4162664480458749</v>
      </c>
      <c r="N57" s="3">
        <v>3.92262981545097</v>
      </c>
      <c r="O57" s="3" cm="1">
        <f t="array" ref="O57">(E57+2*D57-10537-VgB(N57)*1000)/4880</f>
        <v>0.20631517074965755</v>
      </c>
      <c r="P57" s="9">
        <f t="shared" si="8"/>
        <v>192.97165337040556</v>
      </c>
    </row>
    <row r="58" spans="1:20" x14ac:dyDescent="0.3">
      <c r="C58" t="s">
        <v>25</v>
      </c>
      <c r="D58">
        <v>10798</v>
      </c>
      <c r="E58" s="33">
        <f t="shared" si="12"/>
        <v>305</v>
      </c>
      <c r="F58" s="3" cm="1">
        <f t="array" ref="F58">als(E58/1000)</f>
        <v>1</v>
      </c>
      <c r="G58" s="4">
        <f>2/5</f>
        <v>0.4</v>
      </c>
      <c r="H58" s="4">
        <v>1</v>
      </c>
      <c r="I58" s="3">
        <v>1.1068960521003299</v>
      </c>
      <c r="J58" s="3">
        <v>1.6443185171907</v>
      </c>
      <c r="K58" s="3">
        <f t="shared" si="9"/>
        <v>6.3541666666666663E-2</v>
      </c>
      <c r="L58" s="3">
        <f t="shared" si="7"/>
        <v>0.71503621986197585</v>
      </c>
      <c r="M58" s="3">
        <f t="shared" si="10"/>
        <v>2.3443810487277896</v>
      </c>
      <c r="N58" s="3">
        <v>4.72502535854019</v>
      </c>
      <c r="O58" s="3" cm="1">
        <f t="array" ref="O58">(E58+2*D58-10537-VgB(N58)*1000)/4880</f>
        <v>0.2233428127264751</v>
      </c>
      <c r="P58" s="9">
        <f t="shared" si="8"/>
        <v>20.137444957748794</v>
      </c>
    </row>
    <row r="59" spans="1:20" x14ac:dyDescent="0.3">
      <c r="C59" t="s">
        <v>26</v>
      </c>
      <c r="D59">
        <v>10297</v>
      </c>
      <c r="E59">
        <f t="shared" si="12"/>
        <v>806</v>
      </c>
      <c r="F59" s="3" cm="1">
        <f t="array" ref="F59">als(E59/1000)</f>
        <v>0.46809282033332317</v>
      </c>
      <c r="G59" s="4">
        <f>3/5</f>
        <v>0.6</v>
      </c>
      <c r="H59" s="4"/>
      <c r="I59" s="3">
        <v>1.6811637177805701</v>
      </c>
      <c r="J59" s="3"/>
      <c r="K59" s="3">
        <f t="shared" si="9"/>
        <v>0.16791666666666666</v>
      </c>
      <c r="L59" s="47">
        <f t="shared" si="7"/>
        <v>1.0495923958914219</v>
      </c>
      <c r="M59" s="3">
        <f t="shared" si="10"/>
        <v>1.3022238162424591</v>
      </c>
      <c r="N59" s="3">
        <v>3.17741242753138</v>
      </c>
      <c r="O59" s="3" cm="1">
        <f t="array" ref="O59">(E59+2*D59-10537-VgB(N59)*1000)/4880</f>
        <v>0.19393227206548627</v>
      </c>
      <c r="P59" s="9">
        <f t="shared" si="8"/>
        <v>92.36253821571168</v>
      </c>
    </row>
    <row r="60" spans="1:20" x14ac:dyDescent="0.3">
      <c r="C60" t="s">
        <v>27</v>
      </c>
      <c r="D60">
        <v>10579</v>
      </c>
      <c r="E60" s="33">
        <f t="shared" si="12"/>
        <v>524</v>
      </c>
      <c r="F60" s="3" cm="1">
        <f t="array" ref="F60">als(E60/1000)</f>
        <v>0.69540193544537199</v>
      </c>
      <c r="G60" s="4">
        <f>3/5</f>
        <v>0.6</v>
      </c>
      <c r="H60" s="4"/>
      <c r="I60" s="3">
        <v>1.3219323763703099</v>
      </c>
      <c r="J60" s="3"/>
      <c r="K60" s="3">
        <f t="shared" si="9"/>
        <v>0.10916666666666666</v>
      </c>
      <c r="L60" s="3">
        <f t="shared" si="7"/>
        <v>0.5365573538262346</v>
      </c>
      <c r="M60" s="3">
        <f t="shared" si="10"/>
        <v>1.0239644156989209</v>
      </c>
      <c r="N60" s="3">
        <v>4.0303377753673901</v>
      </c>
      <c r="O60" s="3" cm="1">
        <f t="array" ref="O60">(E60+2*D60-10537-VgB(N60)*1000)/4880</f>
        <v>0.21086592973620732</v>
      </c>
      <c r="P60" s="9">
        <f t="shared" si="8"/>
        <v>23.312399198294589</v>
      </c>
    </row>
    <row r="61" spans="1:20" x14ac:dyDescent="0.3">
      <c r="C61" t="s">
        <v>28</v>
      </c>
      <c r="D61">
        <v>10835</v>
      </c>
      <c r="E61" s="33">
        <f t="shared" si="12"/>
        <v>268</v>
      </c>
      <c r="F61" s="3" cm="1">
        <f t="array" ref="F61">als(E61/1000)</f>
        <v>1</v>
      </c>
      <c r="G61" s="4">
        <f>3/5</f>
        <v>0.6</v>
      </c>
      <c r="H61" s="4"/>
      <c r="I61" s="3">
        <v>-1.1960862278643301</v>
      </c>
      <c r="J61" s="3"/>
      <c r="K61" s="3">
        <f t="shared" si="9"/>
        <v>5.5833333333333332E-2</v>
      </c>
      <c r="L61" s="3">
        <f t="shared" si="7"/>
        <v>0.24829782140545775</v>
      </c>
      <c r="M61" s="3">
        <f t="shared" si="10"/>
        <v>0.92648440822931988</v>
      </c>
      <c r="N61" s="3">
        <v>4.8094209792760196</v>
      </c>
      <c r="O61" s="3" cm="1">
        <f t="array" ref="O61">(E61+2*D61-10537-VgB(N61)*1000)/4880</f>
        <v>0.22702388247703312</v>
      </c>
      <c r="P61" s="9">
        <f t="shared" si="8"/>
        <v>3.6717076832752644</v>
      </c>
      <c r="T61" s="16"/>
    </row>
    <row r="62" spans="1:20" x14ac:dyDescent="0.3">
      <c r="C62" t="s">
        <v>29</v>
      </c>
      <c r="D62">
        <v>11072</v>
      </c>
      <c r="E62" s="33">
        <f t="shared" si="12"/>
        <v>31</v>
      </c>
      <c r="F62" s="3" cm="1">
        <f t="array" ref="F62">als(E62/1000)</f>
        <v>1E-4</v>
      </c>
      <c r="G62" s="4">
        <f>3/5</f>
        <v>0.6</v>
      </c>
      <c r="H62" s="4"/>
      <c r="I62" s="3">
        <v>0.144695253235128</v>
      </c>
      <c r="J62" s="3"/>
      <c r="K62" s="3">
        <f>E62/4800</f>
        <v>6.4583333333333333E-3</v>
      </c>
      <c r="L62" s="3">
        <f t="shared" si="7"/>
        <v>3.4744942975404769E-3</v>
      </c>
      <c r="M62" s="3">
        <f t="shared" si="10"/>
        <v>0.11208046121098313</v>
      </c>
      <c r="N62" s="3">
        <v>5.5347890683605199</v>
      </c>
      <c r="O62" s="3" cm="1">
        <f t="array" ref="O62">(E62+2*D62-10537-VgB(N62)*1000)/4880</f>
        <v>0.24229148286463845</v>
      </c>
      <c r="P62" s="9">
        <f t="shared" si="8"/>
        <v>8.316342874064E-9</v>
      </c>
    </row>
    <row r="65" spans="1:2" x14ac:dyDescent="0.3">
      <c r="A65" s="2"/>
      <c r="B65" s="2"/>
    </row>
    <row r="66" spans="1:2" x14ac:dyDescent="0.3">
      <c r="A66" s="2"/>
    </row>
  </sheetData>
  <pageMargins left="0.7" right="0.7" top="0.75" bottom="0.75" header="0.3" footer="0.3"/>
  <pageSetup scale="7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29546-BE70-4B1A-B6EA-3C4DA724822B}">
  <sheetPr codeName="Full4">
    <pageSetUpPr fitToPage="1"/>
  </sheetPr>
  <dimension ref="A1:AF52"/>
  <sheetViews>
    <sheetView workbookViewId="0">
      <selection activeCell="W12" sqref="W12"/>
    </sheetView>
  </sheetViews>
  <sheetFormatPr defaultRowHeight="14.4" x14ac:dyDescent="0.3"/>
  <cols>
    <col min="1" max="1" width="7.33203125" customWidth="1"/>
    <col min="2" max="2" width="6" bestFit="1" customWidth="1"/>
    <col min="3" max="3" width="6.33203125" bestFit="1" customWidth="1"/>
    <col min="4" max="4" width="6" bestFit="1" customWidth="1"/>
    <col min="5" max="5" width="5.44140625" customWidth="1"/>
    <col min="6" max="6" width="6" customWidth="1"/>
    <col min="7" max="7" width="4.5546875" bestFit="1" customWidth="1"/>
    <col min="8" max="8" width="6.33203125" bestFit="1" customWidth="1"/>
    <col min="9" max="9" width="8.5546875" bestFit="1" customWidth="1"/>
    <col min="10" max="10" width="11.6640625" bestFit="1" customWidth="1"/>
    <col min="11" max="11" width="10.21875" bestFit="1" customWidth="1"/>
    <col min="12" max="13" width="6.6640625" customWidth="1"/>
    <col min="14" max="14" width="8" bestFit="1" customWidth="1"/>
    <col min="15" max="15" width="8.109375" bestFit="1" customWidth="1"/>
    <col min="16" max="16" width="5.109375" bestFit="1" customWidth="1"/>
    <col min="17" max="17" width="6.33203125" bestFit="1" customWidth="1"/>
    <col min="18" max="18" width="5" bestFit="1" customWidth="1"/>
    <col min="19" max="19" width="6.109375" customWidth="1"/>
    <col min="20" max="20" width="7.77734375" bestFit="1" customWidth="1"/>
    <col min="21" max="21" width="4.5546875" bestFit="1" customWidth="1"/>
    <col min="22" max="22" width="6.109375" bestFit="1" customWidth="1"/>
    <col min="23" max="23" width="6.5546875" bestFit="1" customWidth="1"/>
    <col min="24" max="24" width="8.77734375" bestFit="1" customWidth="1"/>
    <col min="25" max="25" width="6.6640625" bestFit="1" customWidth="1"/>
    <col min="26" max="26" width="8.109375" bestFit="1" customWidth="1"/>
    <col min="27" max="27" width="5.109375" bestFit="1" customWidth="1"/>
    <col min="28" max="28" width="5.44140625" bestFit="1" customWidth="1"/>
    <col min="29" max="29" width="6.109375" bestFit="1" customWidth="1"/>
    <col min="30" max="30" width="6.5546875" bestFit="1" customWidth="1"/>
    <col min="31" max="31" width="5.5546875" bestFit="1" customWidth="1"/>
    <col min="32" max="32" width="5.109375" bestFit="1" customWidth="1"/>
  </cols>
  <sheetData>
    <row r="1" spans="1:32" x14ac:dyDescent="0.3">
      <c r="A1" t="s">
        <v>44</v>
      </c>
      <c r="E1" t="s">
        <v>45</v>
      </c>
      <c r="H1" s="40" t="s">
        <v>104</v>
      </c>
      <c r="I1" s="5" t="s">
        <v>102</v>
      </c>
      <c r="J1" s="6" t="s">
        <v>101</v>
      </c>
      <c r="K1" s="5" t="s">
        <v>105</v>
      </c>
      <c r="L1" s="6" t="s">
        <v>101</v>
      </c>
      <c r="M1" s="5" t="s">
        <v>106</v>
      </c>
      <c r="N1" s="6"/>
      <c r="V1" s="29"/>
    </row>
    <row r="2" spans="1:32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2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59</v>
      </c>
      <c r="I3" s="1" t="s">
        <v>60</v>
      </c>
      <c r="J3" s="1" t="s">
        <v>100</v>
      </c>
      <c r="K3" s="1" t="s">
        <v>76</v>
      </c>
      <c r="L3" s="27" t="s">
        <v>73</v>
      </c>
      <c r="M3" s="27" t="s">
        <v>74</v>
      </c>
      <c r="N3" s="27" t="s">
        <v>78</v>
      </c>
      <c r="O3" s="1" t="s">
        <v>38</v>
      </c>
    </row>
    <row r="4" spans="1:32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95</v>
      </c>
      <c r="M4" s="27" t="s">
        <v>95</v>
      </c>
      <c r="N4" s="27"/>
      <c r="O4" s="1" t="s">
        <v>34</v>
      </c>
    </row>
    <row r="5" spans="1:32" x14ac:dyDescent="0.3">
      <c r="A5" t="s">
        <v>2</v>
      </c>
      <c r="B5">
        <v>4455</v>
      </c>
      <c r="C5" t="s">
        <v>20</v>
      </c>
      <c r="D5">
        <v>3457</v>
      </c>
      <c r="E5">
        <f t="shared" ref="E5:E9" si="0">$B$5-D5</f>
        <v>998</v>
      </c>
      <c r="F5" s="3" cm="1">
        <f t="array" ref="F5">als(E5/1000)</f>
        <v>0.40700653362199235</v>
      </c>
      <c r="G5" s="10">
        <v>0.33333333333333331</v>
      </c>
      <c r="H5" s="3">
        <v>0.98792681722073095</v>
      </c>
      <c r="I5" s="3">
        <v>3.2687214261615201</v>
      </c>
      <c r="J5" s="3">
        <f>ABS(H5/1470)*E5</f>
        <v>0.67071494121516295</v>
      </c>
      <c r="K5" s="47">
        <f>ABS(I5/1000)*E5</f>
        <v>3.262183983309197</v>
      </c>
      <c r="L5" s="3">
        <f>K5/(E5/1000)</f>
        <v>3.2687214261615201</v>
      </c>
      <c r="M5" s="3">
        <v>3.1414552694423699</v>
      </c>
      <c r="N5" s="3" cm="1">
        <f t="array" ref="N5">(E5+2*D5-3712-VgC(M5)*1000)/1470</f>
        <v>0.7598536263142619</v>
      </c>
      <c r="O5" s="9">
        <f>(4/3)*F5*(1/3)*(1/2)*E5^3*G5*(H5/1470)^2</f>
        <v>13.535494159713283</v>
      </c>
      <c r="T5" s="3"/>
      <c r="U5" s="10"/>
      <c r="V5" s="3"/>
      <c r="W5" s="3"/>
      <c r="X5" s="3"/>
      <c r="Y5" s="3"/>
      <c r="Z5" s="7"/>
      <c r="AA5" s="10"/>
      <c r="AB5" s="10"/>
      <c r="AC5" s="10"/>
      <c r="AD5" s="10"/>
      <c r="AE5" s="10"/>
      <c r="AF5" s="7"/>
    </row>
    <row r="6" spans="1:32" x14ac:dyDescent="0.3">
      <c r="C6" t="s">
        <v>20</v>
      </c>
      <c r="D6">
        <v>3457</v>
      </c>
      <c r="E6">
        <f t="shared" si="0"/>
        <v>998</v>
      </c>
      <c r="F6" s="3" cm="1">
        <f t="array" ref="F6">als(E6/1000)</f>
        <v>0.40700653362199235</v>
      </c>
      <c r="G6" s="10">
        <v>1</v>
      </c>
      <c r="H6" s="3">
        <v>0.98792681722073095</v>
      </c>
      <c r="I6" s="3">
        <v>3.2687214261615201</v>
      </c>
      <c r="J6" s="3">
        <f t="shared" ref="J6:J22" si="1">SQRT(G6)*ABS(H6/1470)*E6</f>
        <v>0.67071494121516295</v>
      </c>
      <c r="K6" s="47">
        <f>ABS(I6/1000)*E6</f>
        <v>3.262183983309197</v>
      </c>
      <c r="L6" s="3">
        <f t="shared" ref="L6:L22" si="2">K6/(E6/1000)</f>
        <v>3.2687214261615201</v>
      </c>
      <c r="M6" s="3">
        <v>3.1414552694423699</v>
      </c>
      <c r="N6" s="3" cm="1">
        <f t="array" ref="N6">(E6+2*D6-3712-VgC(M6)*1000)/1470</f>
        <v>0.7598536263142619</v>
      </c>
      <c r="O6" s="9">
        <f t="shared" ref="O6:O22" si="3">(4/3)*F6*(1/3)*(1/2)*E6^3*G6*(H6/1470)^2</f>
        <v>40.606482479139849</v>
      </c>
      <c r="T6" s="3"/>
      <c r="U6" s="10"/>
      <c r="V6" s="3"/>
      <c r="W6" s="3"/>
      <c r="X6" s="3"/>
      <c r="Y6" s="3"/>
      <c r="Z6" s="7"/>
      <c r="AA6" s="10"/>
      <c r="AB6" s="10"/>
      <c r="AC6" s="10"/>
      <c r="AD6" s="10"/>
      <c r="AE6" s="10"/>
      <c r="AF6" s="7"/>
    </row>
    <row r="7" spans="1:32" x14ac:dyDescent="0.3">
      <c r="C7" t="s">
        <v>20</v>
      </c>
      <c r="D7">
        <v>3457</v>
      </c>
      <c r="E7">
        <f t="shared" si="0"/>
        <v>998</v>
      </c>
      <c r="F7" s="3" cm="1">
        <f t="array" ref="F7">als(E7/1000)</f>
        <v>0.40700653362199235</v>
      </c>
      <c r="G7" s="10">
        <v>1.6666666666666667</v>
      </c>
      <c r="H7" s="3">
        <v>0.98792681722073095</v>
      </c>
      <c r="I7" s="3">
        <v>3.2687214261615201</v>
      </c>
      <c r="J7" s="3">
        <f t="shared" si="1"/>
        <v>0.86588926579293757</v>
      </c>
      <c r="K7" s="47">
        <f>ABS(I7/1000)*E7</f>
        <v>3.262183983309197</v>
      </c>
      <c r="L7" s="3">
        <f t="shared" si="2"/>
        <v>3.2687214261615201</v>
      </c>
      <c r="M7" s="3">
        <v>3.1414552694423699</v>
      </c>
      <c r="N7" s="3" cm="1">
        <f t="array" ref="N7">(E7+2*D7-3712-VgC(M7)*1000)/1470</f>
        <v>0.7598536263142619</v>
      </c>
      <c r="O7" s="9">
        <f t="shared" si="3"/>
        <v>67.677470798566418</v>
      </c>
      <c r="T7" s="3"/>
      <c r="U7" s="10"/>
      <c r="V7" s="3"/>
      <c r="W7" s="3"/>
      <c r="X7" s="3"/>
      <c r="Y7" s="3"/>
      <c r="Z7" s="7"/>
      <c r="AA7" s="10"/>
      <c r="AB7" s="10"/>
      <c r="AC7" s="10"/>
      <c r="AD7" s="10"/>
      <c r="AE7" s="10"/>
      <c r="AF7" s="7"/>
    </row>
    <row r="8" spans="1:32" x14ac:dyDescent="0.3">
      <c r="B8" s="2"/>
      <c r="C8" t="s">
        <v>23</v>
      </c>
      <c r="D8">
        <v>3958</v>
      </c>
      <c r="E8" s="33">
        <f t="shared" si="0"/>
        <v>497</v>
      </c>
      <c r="F8" s="3" cm="1">
        <f t="array" ref="F8">als(E8/1000)</f>
        <v>0.74358018063885567</v>
      </c>
      <c r="G8" s="7">
        <v>3</v>
      </c>
      <c r="H8" s="3">
        <v>-0.143288879939618</v>
      </c>
      <c r="I8" s="3"/>
      <c r="J8" s="3">
        <f t="shared" si="1"/>
        <v>8.3909700167947243E-2</v>
      </c>
      <c r="K8" s="3"/>
      <c r="L8" s="3"/>
      <c r="M8" s="3">
        <v>4.6577871743427401</v>
      </c>
      <c r="N8" s="3" cm="1">
        <f t="array" ref="N8">(E8+2*D8-3712-VgC(M8)*1000)/1470</f>
        <v>0.86197440212528575</v>
      </c>
      <c r="O8" s="9">
        <f t="shared" si="3"/>
        <v>0.57822387393475827</v>
      </c>
    </row>
    <row r="9" spans="1:32" x14ac:dyDescent="0.3">
      <c r="C9" t="s">
        <v>24</v>
      </c>
      <c r="D9">
        <v>4388</v>
      </c>
      <c r="E9" s="33">
        <f t="shared" si="0"/>
        <v>67</v>
      </c>
      <c r="F9" s="3" cm="1">
        <f t="array" ref="F9">als(E9/1000)</f>
        <v>1E-4</v>
      </c>
      <c r="G9" s="7">
        <v>3</v>
      </c>
      <c r="H9" s="3">
        <v>-3.4860039663522302E-2</v>
      </c>
      <c r="I9" s="3"/>
      <c r="J9" s="3">
        <f t="shared" si="1"/>
        <v>2.7519844285869535E-3</v>
      </c>
      <c r="K9" s="3"/>
      <c r="L9" s="3"/>
      <c r="M9" s="3">
        <v>5.9690429745204998</v>
      </c>
      <c r="N9" s="3" cm="1">
        <f t="array" ref="N9">(E9+2*D9-3712-VgC(M9)*1000)/1470</f>
        <v>0.95500898706785831</v>
      </c>
      <c r="O9" s="9">
        <f t="shared" si="3"/>
        <v>1.127597835060887E-8</v>
      </c>
    </row>
    <row r="10" spans="1:32" x14ac:dyDescent="0.3">
      <c r="C10" t="s">
        <v>25</v>
      </c>
      <c r="D10">
        <v>4774</v>
      </c>
      <c r="E10" s="33"/>
      <c r="F10" s="3"/>
      <c r="G10" s="7"/>
      <c r="H10" s="3"/>
      <c r="I10" s="3"/>
      <c r="J10" s="3"/>
      <c r="K10" s="3"/>
      <c r="L10" s="3"/>
      <c r="M10" s="3"/>
      <c r="N10" s="3"/>
      <c r="O10" s="9"/>
    </row>
    <row r="11" spans="1:32" x14ac:dyDescent="0.3">
      <c r="A11" s="13" t="s">
        <v>13</v>
      </c>
      <c r="B11" s="13">
        <v>4917</v>
      </c>
      <c r="C11" s="13" t="s">
        <v>20</v>
      </c>
      <c r="D11" s="13">
        <v>3457</v>
      </c>
      <c r="E11" s="13">
        <f t="shared" ref="E11:E16" si="4">$B$11-D11</f>
        <v>1460</v>
      </c>
      <c r="F11" s="15" cm="1">
        <f t="array" ref="F11">als(E11/1000)</f>
        <v>0.33263549621265776</v>
      </c>
      <c r="G11" s="12">
        <v>3</v>
      </c>
      <c r="H11" s="15">
        <v>0.13544948023711201</v>
      </c>
      <c r="I11" s="15">
        <v>-0.56151007129175301</v>
      </c>
      <c r="J11" s="15">
        <f t="shared" si="1"/>
        <v>0.23300942665240326</v>
      </c>
      <c r="K11" s="15">
        <f>ABS(I11/1000)*E11</f>
        <v>0.81980470408595929</v>
      </c>
      <c r="L11" s="15">
        <f t="shared" si="2"/>
        <v>0.5615100712917529</v>
      </c>
      <c r="M11" s="15">
        <v>3.1414552694423699</v>
      </c>
      <c r="N11" s="15" cm="1">
        <f t="array" ref="N11">(E11+2*D11-3712-VgC(M11)*1000)/1470</f>
        <v>1.0741393405999762</v>
      </c>
      <c r="O11" s="12">
        <f t="shared" si="3"/>
        <v>5.8594373665154214</v>
      </c>
    </row>
    <row r="12" spans="1:32" x14ac:dyDescent="0.3">
      <c r="B12" s="2"/>
      <c r="C12" t="s">
        <v>23</v>
      </c>
      <c r="D12">
        <v>3958</v>
      </c>
      <c r="E12">
        <f t="shared" si="4"/>
        <v>959</v>
      </c>
      <c r="F12" s="3" cm="1">
        <f t="array" ref="F12">als(E12/1000)</f>
        <v>0.41701953866283648</v>
      </c>
      <c r="G12" s="10">
        <v>0.33333333333333331</v>
      </c>
      <c r="H12" s="3">
        <v>0.97716338464309005</v>
      </c>
      <c r="I12" s="3">
        <v>4.6372217531009996</v>
      </c>
      <c r="J12" s="3">
        <f t="shared" si="1"/>
        <v>0.36805085435110924</v>
      </c>
      <c r="K12" s="47">
        <f>ABS(I12/1000)*E12</f>
        <v>4.4470956612238588</v>
      </c>
      <c r="L12" s="3">
        <f t="shared" si="2"/>
        <v>4.6372217531009996</v>
      </c>
      <c r="M12" s="3">
        <v>4.6577871743427401</v>
      </c>
      <c r="N12" s="3" cm="1">
        <f t="array" ref="N12">(E12+2*D12-3712-VgC(M12)*1000)/1470</f>
        <v>1.176260116411</v>
      </c>
      <c r="O12" s="9">
        <f t="shared" si="3"/>
        <v>12.038660225706328</v>
      </c>
    </row>
    <row r="13" spans="1:32" x14ac:dyDescent="0.3">
      <c r="B13" s="2"/>
      <c r="C13" t="s">
        <v>23</v>
      </c>
      <c r="D13">
        <v>3958</v>
      </c>
      <c r="E13">
        <f t="shared" si="4"/>
        <v>959</v>
      </c>
      <c r="F13" s="3" cm="1">
        <f t="array" ref="F13">als(E13/1000)</f>
        <v>0.41701953866283648</v>
      </c>
      <c r="G13" s="10">
        <v>1</v>
      </c>
      <c r="H13" s="3">
        <v>0.97716338464309005</v>
      </c>
      <c r="I13" s="3">
        <v>4.6372217531009996</v>
      </c>
      <c r="J13" s="3">
        <f t="shared" si="1"/>
        <v>0.637482779505254</v>
      </c>
      <c r="K13" s="47">
        <f>ABS(I13/1000)*E13</f>
        <v>4.4470956612238588</v>
      </c>
      <c r="L13" s="3">
        <f t="shared" si="2"/>
        <v>4.6372217531009996</v>
      </c>
      <c r="M13" s="3">
        <v>4.6577871743427401</v>
      </c>
      <c r="N13" s="3" cm="1">
        <f t="array" ref="N13">(E13+2*D13-3712-VgC(M13)*1000)/1470</f>
        <v>1.176260116411</v>
      </c>
      <c r="O13" s="9">
        <f t="shared" si="3"/>
        <v>36.115980677118991</v>
      </c>
    </row>
    <row r="14" spans="1:32" x14ac:dyDescent="0.3">
      <c r="B14" s="2"/>
      <c r="C14" t="s">
        <v>23</v>
      </c>
      <c r="D14">
        <v>3958</v>
      </c>
      <c r="E14">
        <f t="shared" si="4"/>
        <v>959</v>
      </c>
      <c r="F14" s="3" cm="1">
        <f t="array" ref="F14">als(E14/1000)</f>
        <v>0.41701953866283648</v>
      </c>
      <c r="G14" s="10">
        <v>1.6666666666666667</v>
      </c>
      <c r="H14" s="3">
        <v>0.97716338464309005</v>
      </c>
      <c r="I14" s="3">
        <v>4.6372217531009996</v>
      </c>
      <c r="J14" s="3">
        <f t="shared" si="1"/>
        <v>0.82298672950595453</v>
      </c>
      <c r="K14" s="47">
        <f>ABS(I14/1000)*E14</f>
        <v>4.4470956612238588</v>
      </c>
      <c r="L14" s="3">
        <f t="shared" si="2"/>
        <v>4.6372217531009996</v>
      </c>
      <c r="M14" s="3">
        <v>4.6577871743427401</v>
      </c>
      <c r="N14" s="3" cm="1">
        <f t="array" ref="N14">(E14+2*D14-3712-VgC(M14)*1000)/1470</f>
        <v>1.176260116411</v>
      </c>
      <c r="O14" s="9">
        <f t="shared" si="3"/>
        <v>60.193301128531651</v>
      </c>
    </row>
    <row r="15" spans="1:32" x14ac:dyDescent="0.3">
      <c r="C15" t="s">
        <v>24</v>
      </c>
      <c r="D15">
        <v>4388</v>
      </c>
      <c r="E15" s="33">
        <f t="shared" si="4"/>
        <v>529</v>
      </c>
      <c r="F15" s="3" cm="1">
        <f t="array" ref="F15">als(E15/1000)</f>
        <v>0.68750060932260215</v>
      </c>
      <c r="G15" s="7">
        <v>3</v>
      </c>
      <c r="H15" s="3">
        <v>-0.13290312585832401</v>
      </c>
      <c r="I15" s="3"/>
      <c r="J15" s="3">
        <f t="shared" si="1"/>
        <v>8.2838868886624437E-2</v>
      </c>
      <c r="K15" s="3"/>
      <c r="L15" s="3">
        <f t="shared" si="2"/>
        <v>0</v>
      </c>
      <c r="M15" s="3">
        <v>5.9690429745204998</v>
      </c>
      <c r="N15" s="3" cm="1">
        <f t="array" ref="N15">(E15+2*D15-3712-VgC(M15)*1000)/1470</f>
        <v>1.2692947013535725</v>
      </c>
      <c r="O15" s="9">
        <f t="shared" si="3"/>
        <v>0.55460600315904063</v>
      </c>
    </row>
    <row r="16" spans="1:32" x14ac:dyDescent="0.3">
      <c r="C16" t="s">
        <v>25</v>
      </c>
      <c r="D16">
        <v>4774</v>
      </c>
      <c r="E16" s="33">
        <f t="shared" si="4"/>
        <v>143</v>
      </c>
      <c r="F16" s="3" cm="1">
        <f t="array" ref="F16">als(E16/1000)</f>
        <v>1</v>
      </c>
      <c r="G16" s="7">
        <v>3</v>
      </c>
      <c r="H16" s="3">
        <v>-3.2154416806032302E-2</v>
      </c>
      <c r="I16" s="3"/>
      <c r="J16" s="3">
        <f t="shared" si="1"/>
        <v>5.4177625538766108E-3</v>
      </c>
      <c r="K16" s="3"/>
      <c r="L16" s="3">
        <f t="shared" si="2"/>
        <v>0</v>
      </c>
      <c r="M16" s="3">
        <v>7.1525798485286902</v>
      </c>
      <c r="N16" s="3" cm="1">
        <f t="array" ref="N16">(E16+2*D16-3712-VgC(M16)*1000)/1470</f>
        <v>1.3542514687949436</v>
      </c>
      <c r="O16" s="9">
        <f t="shared" si="3"/>
        <v>9.3274613464373976E-4</v>
      </c>
    </row>
    <row r="17" spans="1:15" x14ac:dyDescent="0.3">
      <c r="A17" s="13" t="s">
        <v>14</v>
      </c>
      <c r="B17" s="13">
        <v>5315</v>
      </c>
      <c r="C17" s="13" t="s">
        <v>20</v>
      </c>
      <c r="D17" s="13">
        <v>3457</v>
      </c>
      <c r="E17" s="13">
        <f t="shared" ref="E17:E22" si="5">$B$17-D17</f>
        <v>1858</v>
      </c>
      <c r="F17" s="15" cm="1">
        <f t="array" ref="F17">als(E17/1000)</f>
        <v>0.29895896361204283</v>
      </c>
      <c r="G17" s="12">
        <v>3</v>
      </c>
      <c r="H17" s="15">
        <v>4.9870161481481802E-2</v>
      </c>
      <c r="I17" s="15">
        <v>-0.20175783487798499</v>
      </c>
      <c r="J17" s="15">
        <f t="shared" si="1"/>
        <v>0.10917665315835635</v>
      </c>
      <c r="K17" s="15">
        <f>ABS(I17/1000)*E17</f>
        <v>0.37486605720329613</v>
      </c>
      <c r="L17" s="15">
        <f t="shared" si="2"/>
        <v>0.20175783487798499</v>
      </c>
      <c r="M17" s="15">
        <v>3.1414552694423699</v>
      </c>
      <c r="N17" s="15" cm="1">
        <f t="array" ref="N17">(E17+2*D17-3712-VgC(M17)*1000)/1470</f>
        <v>1.3448876399197041</v>
      </c>
      <c r="O17" s="14">
        <f t="shared" si="3"/>
        <v>1.4713104808857618</v>
      </c>
    </row>
    <row r="18" spans="1:15" x14ac:dyDescent="0.3">
      <c r="A18" s="13"/>
      <c r="B18" s="17"/>
      <c r="C18" s="13" t="s">
        <v>23</v>
      </c>
      <c r="D18" s="13">
        <v>3958</v>
      </c>
      <c r="E18" s="13">
        <f t="shared" si="5"/>
        <v>1357</v>
      </c>
      <c r="F18" s="15" cm="1">
        <f t="array" ref="F18">als(E18/1000)</f>
        <v>0.34455798277894345</v>
      </c>
      <c r="G18" s="12">
        <v>3</v>
      </c>
      <c r="H18" s="15">
        <v>0.113452331080361</v>
      </c>
      <c r="I18" s="15">
        <v>-0.90841064122489401</v>
      </c>
      <c r="J18" s="15">
        <f t="shared" si="1"/>
        <v>0.18139969977135911</v>
      </c>
      <c r="K18" s="35">
        <f>ABS(I18/1000)*E18</f>
        <v>1.2327132401421812</v>
      </c>
      <c r="L18" s="15">
        <f t="shared" si="2"/>
        <v>0.90841064122489401</v>
      </c>
      <c r="M18" s="15">
        <v>4.6577871743427401</v>
      </c>
      <c r="N18" s="15" cm="1">
        <f t="array" ref="N18">(E18+2*D18-3712-VgC(M18)*1000)/1470</f>
        <v>1.4470084157307279</v>
      </c>
      <c r="O18" s="12">
        <f t="shared" si="3"/>
        <v>3.4190289485582115</v>
      </c>
    </row>
    <row r="19" spans="1:15" x14ac:dyDescent="0.3">
      <c r="C19" t="s">
        <v>24</v>
      </c>
      <c r="D19">
        <v>4388</v>
      </c>
      <c r="E19">
        <f t="shared" si="5"/>
        <v>927</v>
      </c>
      <c r="F19" s="3" cm="1">
        <f t="array" ref="F19">als(E19/1000)</f>
        <v>0.42599020547464683</v>
      </c>
      <c r="G19" s="10">
        <v>0.33333333333333331</v>
      </c>
      <c r="H19" s="3">
        <v>0.96162207405409905</v>
      </c>
      <c r="I19" s="3">
        <v>5.9952201998654298</v>
      </c>
      <c r="J19" s="3">
        <f t="shared" si="1"/>
        <v>0.35011135482442951</v>
      </c>
      <c r="K19" s="47">
        <f>ABS(I19/1000)*E19</f>
        <v>5.5575691252752533</v>
      </c>
      <c r="L19" s="3">
        <f t="shared" si="2"/>
        <v>5.9952201998654298</v>
      </c>
      <c r="M19" s="3">
        <v>5.9690429745204998</v>
      </c>
      <c r="N19" s="3" cm="1">
        <f t="array" ref="N19">(E19+2*D19-3712-VgC(M19)*1000)/1470</f>
        <v>1.5400430006733004</v>
      </c>
      <c r="O19" s="9">
        <f t="shared" si="3"/>
        <v>10.756704203799616</v>
      </c>
    </row>
    <row r="20" spans="1:15" x14ac:dyDescent="0.3">
      <c r="C20" t="s">
        <v>24</v>
      </c>
      <c r="D20">
        <v>4388</v>
      </c>
      <c r="E20">
        <f t="shared" si="5"/>
        <v>927</v>
      </c>
      <c r="F20" s="3" cm="1">
        <f t="array" ref="F20">als(E20/1000)</f>
        <v>0.42599020547464683</v>
      </c>
      <c r="G20" s="10">
        <v>1</v>
      </c>
      <c r="H20" s="3">
        <v>0.96162207405409905</v>
      </c>
      <c r="I20" s="3">
        <v>5.9952201998654298</v>
      </c>
      <c r="J20" s="3">
        <f t="shared" si="1"/>
        <v>0.60641065486268686</v>
      </c>
      <c r="K20" s="47">
        <f>ABS(I20/1000)*E20</f>
        <v>5.5575691252752533</v>
      </c>
      <c r="L20" s="3">
        <f t="shared" si="2"/>
        <v>5.9952201998654298</v>
      </c>
      <c r="M20" s="3">
        <v>5.9690429745204998</v>
      </c>
      <c r="N20" s="3" cm="1">
        <f t="array" ref="N20">(E20+2*D20-3712-VgC(M20)*1000)/1470</f>
        <v>1.5400430006733004</v>
      </c>
      <c r="O20" s="9">
        <f t="shared" si="3"/>
        <v>32.270112611398851</v>
      </c>
    </row>
    <row r="21" spans="1:15" x14ac:dyDescent="0.3">
      <c r="C21" t="s">
        <v>24</v>
      </c>
      <c r="D21">
        <v>4388</v>
      </c>
      <c r="E21">
        <f t="shared" si="5"/>
        <v>927</v>
      </c>
      <c r="F21" s="3" cm="1">
        <f t="array" ref="F21">als(E21/1000)</f>
        <v>0.42599020547464683</v>
      </c>
      <c r="G21" s="10">
        <v>1.6666666666666667</v>
      </c>
      <c r="H21" s="3">
        <v>0.96162207405409905</v>
      </c>
      <c r="I21" s="3">
        <v>5.9952201998654298</v>
      </c>
      <c r="J21" s="3">
        <f t="shared" si="1"/>
        <v>0.78287278908197333</v>
      </c>
      <c r="K21" s="47">
        <f>ABS(I21/1000)*E21</f>
        <v>5.5575691252752533</v>
      </c>
      <c r="L21" s="3">
        <f t="shared" si="2"/>
        <v>5.9952201998654298</v>
      </c>
      <c r="M21" s="3">
        <v>5.9690429745204998</v>
      </c>
      <c r="N21" s="3" cm="1">
        <f t="array" ref="N21">(E21+2*D21-3712-VgC(M21)*1000)/1470</f>
        <v>1.5400430006733004</v>
      </c>
      <c r="O21" s="9">
        <f t="shared" si="3"/>
        <v>53.783521018998087</v>
      </c>
    </row>
    <row r="22" spans="1:15" x14ac:dyDescent="0.3">
      <c r="C22" t="s">
        <v>25</v>
      </c>
      <c r="D22">
        <v>4774</v>
      </c>
      <c r="E22" s="33">
        <f t="shared" si="5"/>
        <v>541</v>
      </c>
      <c r="F22" s="3" cm="1">
        <f t="array" ref="F22">als(E22/1000)</f>
        <v>0.66964004760101459</v>
      </c>
      <c r="G22" s="7">
        <v>3</v>
      </c>
      <c r="H22" s="3">
        <v>-0.22157908402457499</v>
      </c>
      <c r="I22" s="3"/>
      <c r="J22" s="3">
        <f t="shared" si="1"/>
        <v>0.14124377632721036</v>
      </c>
      <c r="K22" s="3"/>
      <c r="L22" s="3">
        <f t="shared" si="2"/>
        <v>0</v>
      </c>
      <c r="M22" s="3">
        <v>7.1525798485286902</v>
      </c>
      <c r="N22" s="3" cm="1">
        <f t="array" ref="N22">(E22+2*D22-3712-VgC(M22)*1000)/1470</f>
        <v>1.6249997681146715</v>
      </c>
      <c r="O22" s="9">
        <f t="shared" si="3"/>
        <v>1.6060712606719694</v>
      </c>
    </row>
    <row r="23" spans="1:15" x14ac:dyDescent="0.3">
      <c r="F23" s="6"/>
      <c r="G23" s="7"/>
      <c r="H23" s="3"/>
      <c r="I23" s="3"/>
      <c r="J23" s="3"/>
      <c r="K23" s="3"/>
      <c r="L23" s="3"/>
      <c r="M23" s="3"/>
      <c r="N23" s="3"/>
      <c r="O23" s="7"/>
    </row>
    <row r="24" spans="1:15" x14ac:dyDescent="0.3">
      <c r="F24" s="6"/>
      <c r="G24" s="7"/>
      <c r="H24" s="3"/>
      <c r="I24" s="3"/>
      <c r="J24" s="3"/>
      <c r="K24" s="3"/>
      <c r="L24" s="3"/>
      <c r="M24" s="3"/>
      <c r="N24" s="3"/>
      <c r="O24" s="7"/>
    </row>
    <row r="25" spans="1:15" x14ac:dyDescent="0.3">
      <c r="F25" s="6"/>
      <c r="G25" s="7"/>
      <c r="H25" s="3"/>
      <c r="I25" s="3"/>
      <c r="J25" s="3"/>
      <c r="K25" s="3"/>
      <c r="L25" s="3"/>
      <c r="M25" s="3"/>
      <c r="N25" s="3"/>
      <c r="O25" s="7"/>
    </row>
    <row r="26" spans="1:15" x14ac:dyDescent="0.3">
      <c r="A26" s="5"/>
      <c r="B26" s="5"/>
      <c r="C26" s="5"/>
      <c r="D26" s="5"/>
      <c r="E26" s="6"/>
      <c r="F26" s="5"/>
      <c r="G26" s="6"/>
      <c r="H26" s="6"/>
      <c r="I26" s="3"/>
      <c r="J26" s="3"/>
      <c r="K26" s="3"/>
      <c r="L26" s="3"/>
      <c r="M26" s="3"/>
      <c r="N26" s="3"/>
      <c r="O26" s="7"/>
    </row>
    <row r="27" spans="1:15" x14ac:dyDescent="0.3">
      <c r="F27" s="6"/>
      <c r="G27" s="7"/>
      <c r="H27" s="3"/>
      <c r="I27" s="3"/>
      <c r="J27" s="3"/>
      <c r="K27" s="3"/>
      <c r="L27" s="3"/>
      <c r="M27" s="3"/>
      <c r="N27" s="3"/>
      <c r="O27" s="7"/>
    </row>
    <row r="28" spans="1:15" x14ac:dyDescent="0.3">
      <c r="F28" s="6"/>
      <c r="G28" s="7"/>
      <c r="H28" s="3"/>
      <c r="I28" s="3"/>
      <c r="J28" s="3"/>
      <c r="K28" s="3"/>
      <c r="L28" s="3"/>
      <c r="M28" s="3"/>
      <c r="N28" s="3"/>
      <c r="O28" s="7"/>
    </row>
    <row r="29" spans="1:15" x14ac:dyDescent="0.3">
      <c r="F29" s="6"/>
      <c r="G29" s="7"/>
      <c r="H29" s="3"/>
      <c r="I29" s="3"/>
      <c r="J29" s="3"/>
      <c r="K29" s="3"/>
      <c r="L29" s="3"/>
      <c r="M29" s="3"/>
      <c r="N29" s="3"/>
      <c r="O29" s="7"/>
    </row>
    <row r="30" spans="1:15" x14ac:dyDescent="0.3">
      <c r="F30" s="6"/>
      <c r="G30" s="7"/>
      <c r="H30" s="3"/>
      <c r="I30" s="3"/>
      <c r="J30" s="3"/>
      <c r="K30" s="3"/>
      <c r="L30" s="3"/>
      <c r="M30" s="3"/>
      <c r="N30" s="3"/>
      <c r="O30" s="7"/>
    </row>
    <row r="31" spans="1:15" x14ac:dyDescent="0.3">
      <c r="F31" s="6"/>
      <c r="G31" s="7"/>
      <c r="H31" s="3"/>
      <c r="I31" s="3"/>
      <c r="J31" s="3"/>
      <c r="K31" s="3"/>
      <c r="L31" s="3"/>
      <c r="M31" s="3"/>
      <c r="N31" s="3"/>
      <c r="O31" s="7"/>
    </row>
    <row r="32" spans="1:15" x14ac:dyDescent="0.3">
      <c r="F32" s="6"/>
      <c r="G32" s="7"/>
      <c r="H32" s="3"/>
      <c r="I32" s="3"/>
      <c r="J32" s="3"/>
      <c r="K32" s="3"/>
      <c r="L32" s="3"/>
      <c r="M32" s="3"/>
      <c r="N32" s="3"/>
      <c r="O32" s="7"/>
    </row>
    <row r="33" spans="1:15" x14ac:dyDescent="0.3">
      <c r="F33" s="3"/>
      <c r="G33" s="7"/>
      <c r="H33" s="3"/>
      <c r="I33" s="3"/>
      <c r="J33" s="3"/>
      <c r="K33" s="3"/>
      <c r="L33" s="3"/>
      <c r="M33" s="3"/>
      <c r="N33" s="3"/>
      <c r="O33" s="7"/>
    </row>
    <row r="34" spans="1:15" x14ac:dyDescent="0.3">
      <c r="F34" s="3"/>
      <c r="G34" s="7"/>
      <c r="H34" s="3"/>
      <c r="I34" s="3"/>
      <c r="J34" s="3"/>
      <c r="K34" s="3"/>
      <c r="L34" s="3"/>
      <c r="M34" s="3"/>
      <c r="N34" s="3"/>
      <c r="O34" s="7"/>
    </row>
    <row r="35" spans="1:15" x14ac:dyDescent="0.3">
      <c r="A35" t="s">
        <v>44</v>
      </c>
      <c r="E35" t="s">
        <v>45</v>
      </c>
      <c r="H35" s="40" t="s">
        <v>104</v>
      </c>
      <c r="I35" s="5" t="s">
        <v>102</v>
      </c>
      <c r="J35" s="6" t="s">
        <v>101</v>
      </c>
      <c r="K35" s="5" t="s">
        <v>105</v>
      </c>
      <c r="L35" s="6" t="s">
        <v>101</v>
      </c>
      <c r="M35" s="5" t="s">
        <v>106</v>
      </c>
      <c r="N35" s="6"/>
      <c r="O35" s="7"/>
    </row>
    <row r="36" spans="1:15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22"/>
    </row>
    <row r="37" spans="1:15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36</v>
      </c>
      <c r="G37" s="1" t="s">
        <v>49</v>
      </c>
      <c r="H37" s="1" t="s">
        <v>7</v>
      </c>
      <c r="I37" s="1" t="s">
        <v>60</v>
      </c>
      <c r="J37" s="1" t="s">
        <v>100</v>
      </c>
      <c r="K37" s="1" t="s">
        <v>76</v>
      </c>
      <c r="L37" s="27" t="s">
        <v>73</v>
      </c>
      <c r="M37" s="27" t="s">
        <v>74</v>
      </c>
      <c r="N37" s="27" t="s">
        <v>78</v>
      </c>
      <c r="O37" s="22" t="s">
        <v>38</v>
      </c>
    </row>
    <row r="38" spans="1:15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/>
      <c r="J38" s="1"/>
      <c r="K38" s="1"/>
      <c r="L38" s="27" t="s">
        <v>95</v>
      </c>
      <c r="M38" s="27" t="s">
        <v>95</v>
      </c>
      <c r="N38" s="27"/>
      <c r="O38" s="22" t="s">
        <v>34</v>
      </c>
    </row>
    <row r="39" spans="1:15" x14ac:dyDescent="0.3">
      <c r="A39" t="s">
        <v>2</v>
      </c>
      <c r="B39">
        <v>10977</v>
      </c>
      <c r="C39" t="s">
        <v>20</v>
      </c>
      <c r="D39">
        <v>9879</v>
      </c>
      <c r="E39">
        <f>$B$39-D39</f>
        <v>1098</v>
      </c>
      <c r="F39" s="3" cm="1">
        <f t="array" ref="F39">als(E39/1000)</f>
        <v>0.38505766579509387</v>
      </c>
      <c r="G39" s="7">
        <v>3</v>
      </c>
      <c r="H39" s="3">
        <v>0.95954459211973697</v>
      </c>
      <c r="I39" s="3">
        <v>2.1014452266227601</v>
      </c>
      <c r="J39" s="3">
        <f t="shared" ref="J39:J50" si="6">SQRT(G39)*ABS(H39/4880)*E39</f>
        <v>0.37394549677785138</v>
      </c>
      <c r="K39" s="47">
        <f>ABS(I39/1000)*E39</f>
        <v>2.3073868588317903</v>
      </c>
      <c r="L39" s="3">
        <f>K39/(E39/1000)</f>
        <v>2.1014452266227597</v>
      </c>
      <c r="M39" s="3">
        <v>1.9846116902480599</v>
      </c>
      <c r="N39" s="3" cm="1">
        <f t="array" ref="N39">(E39+2*D39-10537-VgB(M39)*1000)/4880</f>
        <v>0.14431125907114925</v>
      </c>
      <c r="O39" s="9">
        <f t="shared" ref="O39:O50" si="7">(4/3)*F39*(1/3)*(1/2)*E39^3*G39*(H39/4880)^2</f>
        <v>13.138089479843037</v>
      </c>
    </row>
    <row r="40" spans="1:15" x14ac:dyDescent="0.3">
      <c r="B40" s="2"/>
      <c r="C40" t="s">
        <v>23</v>
      </c>
      <c r="D40">
        <v>10234</v>
      </c>
      <c r="E40" s="33">
        <f>$B$39-D40</f>
        <v>743</v>
      </c>
      <c r="F40" s="3" cm="1">
        <f t="array" ref="F40">als(E40/1000)</f>
        <v>0.49731478947815461</v>
      </c>
      <c r="G40" s="7">
        <v>3</v>
      </c>
      <c r="H40" s="3">
        <v>-0.273559048580997</v>
      </c>
      <c r="I40" s="3"/>
      <c r="J40" s="3">
        <f t="shared" si="6"/>
        <v>7.2140758414401596E-2</v>
      </c>
      <c r="K40" s="3"/>
      <c r="L40" s="3">
        <f t="shared" ref="L40:L50" si="8">K40/(E40/1000)</f>
        <v>0</v>
      </c>
      <c r="M40" s="3">
        <v>3.0300779091087202</v>
      </c>
      <c r="N40" s="3" cm="1">
        <f t="array" ref="N40">(E40+2*D40-10537-VgB(M40)*1000)/4880</f>
        <v>0.16244654380047086</v>
      </c>
      <c r="O40" s="9">
        <f t="shared" si="7"/>
        <v>0.42733560804147003</v>
      </c>
    </row>
    <row r="41" spans="1:15" x14ac:dyDescent="0.3">
      <c r="C41" t="s">
        <v>24</v>
      </c>
      <c r="D41">
        <v>10532</v>
      </c>
      <c r="E41" s="33">
        <f>$B$39-D41</f>
        <v>445</v>
      </c>
      <c r="F41" s="3" cm="1">
        <f t="array" ref="F41">als(E41/1000)</f>
        <v>0.87370940638133954</v>
      </c>
      <c r="G41" s="7">
        <v>3</v>
      </c>
      <c r="H41" s="3">
        <v>-3.23427746166862E-2</v>
      </c>
      <c r="I41" s="3"/>
      <c r="J41" s="3">
        <f t="shared" si="6"/>
        <v>5.1083199503612776E-3</v>
      </c>
      <c r="K41" s="3"/>
      <c r="L41" s="3">
        <f t="shared" si="8"/>
        <v>0</v>
      </c>
      <c r="M41" s="3">
        <v>3.92262981545097</v>
      </c>
      <c r="N41" s="3" cm="1">
        <f t="array" ref="N41">(E41+2*D41-10537-VgB(M41)*1000)/4880</f>
        <v>0.18049549861851</v>
      </c>
      <c r="O41" s="9">
        <f t="shared" si="7"/>
        <v>2.2546061636963197E-3</v>
      </c>
    </row>
    <row r="42" spans="1:15" x14ac:dyDescent="0.3">
      <c r="C42" t="s">
        <v>25</v>
      </c>
      <c r="D42">
        <v>10798</v>
      </c>
      <c r="E42" s="33">
        <f>$B$39-D42</f>
        <v>179</v>
      </c>
      <c r="F42" s="3" cm="1">
        <f t="array" ref="F42">als(E42/1000)</f>
        <v>1</v>
      </c>
      <c r="G42" s="7">
        <v>3</v>
      </c>
      <c r="H42" s="3">
        <v>-1.7809138527834702E-2</v>
      </c>
      <c r="I42" s="3"/>
      <c r="J42" s="3">
        <f t="shared" si="6"/>
        <v>1.131453599527528E-3</v>
      </c>
      <c r="K42" s="3"/>
      <c r="L42" s="3">
        <f t="shared" si="8"/>
        <v>0</v>
      </c>
      <c r="M42" s="3">
        <v>4.72502535854019</v>
      </c>
      <c r="N42" s="3" cm="1">
        <f t="array" ref="N42">(E42+2*D42-10537-VgB(M42)*1000)/4880</f>
        <v>0.19752314059532755</v>
      </c>
      <c r="O42" s="9">
        <f t="shared" si="7"/>
        <v>5.0923003860266687E-5</v>
      </c>
    </row>
    <row r="43" spans="1:15" x14ac:dyDescent="0.3">
      <c r="A43" s="13" t="s">
        <v>13</v>
      </c>
      <c r="B43" s="13">
        <v>11261</v>
      </c>
      <c r="C43" s="13" t="s">
        <v>20</v>
      </c>
      <c r="D43" s="13">
        <v>9879</v>
      </c>
      <c r="E43" s="13">
        <f>$B$43-D43</f>
        <v>1382</v>
      </c>
      <c r="F43" s="15" cm="1">
        <f t="array" ref="F43">als(E43/1000)</f>
        <v>0.34149653574809941</v>
      </c>
      <c r="G43" s="12">
        <v>3</v>
      </c>
      <c r="H43" s="15">
        <v>0.24196970848509899</v>
      </c>
      <c r="I43" s="15">
        <v>-5.6100471981907901E-2</v>
      </c>
      <c r="J43" s="15">
        <f t="shared" si="6"/>
        <v>0.11868883025871954</v>
      </c>
      <c r="K43" s="15">
        <f>ABS(I43/1000)*E43</f>
        <v>7.7530852278996726E-2</v>
      </c>
      <c r="L43" s="15">
        <f t="shared" si="8"/>
        <v>5.6100471981907908E-2</v>
      </c>
      <c r="M43" s="15">
        <v>1.9846116902480599</v>
      </c>
      <c r="N43" s="15" cm="1">
        <f t="array" ref="N43">(E43+2*D43-10537-VgB(M43)*1000)/4880</f>
        <v>0.20250798038262466</v>
      </c>
      <c r="O43" s="14">
        <f t="shared" si="7"/>
        <v>1.4774116898323784</v>
      </c>
    </row>
    <row r="44" spans="1:15" x14ac:dyDescent="0.3">
      <c r="B44" s="2"/>
      <c r="C44" t="s">
        <v>23</v>
      </c>
      <c r="D44">
        <v>10234</v>
      </c>
      <c r="E44">
        <f>$B$43-D44</f>
        <v>1027</v>
      </c>
      <c r="F44" s="3" cm="1">
        <f t="array" ref="F44">als(E44/1000)</f>
        <v>0.40013540812008846</v>
      </c>
      <c r="G44" s="7">
        <v>3</v>
      </c>
      <c r="H44" s="3">
        <v>0.89630162606532804</v>
      </c>
      <c r="I44" s="3">
        <v>2.9270968413389</v>
      </c>
      <c r="J44" s="3">
        <f t="shared" si="6"/>
        <v>0.32671226107449725</v>
      </c>
      <c r="K44" s="47">
        <f>ABS(I44/1000)*E44</f>
        <v>3.0061284560550505</v>
      </c>
      <c r="L44" s="3">
        <f t="shared" si="8"/>
        <v>2.9270968413389005</v>
      </c>
      <c r="M44" s="3">
        <v>3.0300779091087202</v>
      </c>
      <c r="N44" s="3" cm="1">
        <f t="array" ref="N44">(E44+2*D44-10537-VgB(M44)*1000)/4880</f>
        <v>0.22064326511194626</v>
      </c>
      <c r="O44" s="9">
        <f t="shared" si="7"/>
        <v>9.7475569295024389</v>
      </c>
    </row>
    <row r="45" spans="1:15" x14ac:dyDescent="0.3">
      <c r="C45" t="s">
        <v>24</v>
      </c>
      <c r="D45">
        <v>10532</v>
      </c>
      <c r="E45" s="33">
        <f>$B$43-D45</f>
        <v>729</v>
      </c>
      <c r="F45" s="3" cm="1">
        <f t="array" ref="F45">als(E45/1000)</f>
        <v>0.5047640058603885</v>
      </c>
      <c r="G45" s="7">
        <v>3</v>
      </c>
      <c r="H45" s="3">
        <v>-0.35651959341003697</v>
      </c>
      <c r="I45" s="3"/>
      <c r="J45" s="3">
        <f t="shared" si="6"/>
        <v>9.2246890618177674E-2</v>
      </c>
      <c r="K45" s="3"/>
      <c r="L45" s="3">
        <f t="shared" si="8"/>
        <v>0</v>
      </c>
      <c r="M45" s="3">
        <v>3.92262981545097</v>
      </c>
      <c r="N45" s="3" cm="1">
        <f t="array" ref="N45">(E45+2*D45-10537-VgB(M45)*1000)/4880</f>
        <v>0.23869221992998541</v>
      </c>
      <c r="O45" s="9">
        <f t="shared" si="7"/>
        <v>0.69583595437961376</v>
      </c>
    </row>
    <row r="46" spans="1:15" x14ac:dyDescent="0.3">
      <c r="C46" t="s">
        <v>25</v>
      </c>
      <c r="D46">
        <v>10798</v>
      </c>
      <c r="E46" s="33">
        <f>$B$43-D46</f>
        <v>463</v>
      </c>
      <c r="F46" s="3" cm="1">
        <f t="array" ref="F46">als(E46/1000)</f>
        <v>0.82155395653179231</v>
      </c>
      <c r="G46" s="7">
        <v>3</v>
      </c>
      <c r="H46" s="3">
        <v>-4.7197844310889601E-2</v>
      </c>
      <c r="I46" s="3"/>
      <c r="J46" s="3">
        <f t="shared" si="6"/>
        <v>7.7561099991779381E-3</v>
      </c>
      <c r="K46" s="3"/>
      <c r="L46" s="3">
        <f t="shared" si="8"/>
        <v>0</v>
      </c>
      <c r="M46" s="3">
        <v>4.72502535854019</v>
      </c>
      <c r="N46" s="3" cm="1">
        <f t="array" ref="N46">(E46+2*D46-10537-VgB(M46)*1000)/4880</f>
        <v>0.25571986190680296</v>
      </c>
      <c r="O46" s="9">
        <f t="shared" si="7"/>
        <v>5.085017925425663E-3</v>
      </c>
    </row>
    <row r="47" spans="1:15" x14ac:dyDescent="0.3">
      <c r="A47" s="13" t="s">
        <v>14</v>
      </c>
      <c r="B47" s="13">
        <v>11525</v>
      </c>
      <c r="C47" s="13" t="s">
        <v>20</v>
      </c>
      <c r="D47" s="13">
        <v>9879</v>
      </c>
      <c r="E47" s="13">
        <f>$B$47-D47</f>
        <v>1646</v>
      </c>
      <c r="F47" s="15" cm="1">
        <f t="array" ref="F47">als(E47/1000)</f>
        <v>0.31491350302157201</v>
      </c>
      <c r="G47" s="12">
        <v>3</v>
      </c>
      <c r="H47" s="15">
        <v>0.10991095601579499</v>
      </c>
      <c r="I47" s="15">
        <v>-0.112183617808116</v>
      </c>
      <c r="J47" s="15">
        <f t="shared" si="6"/>
        <v>6.4211323518524599E-2</v>
      </c>
      <c r="K47" s="15">
        <f>ABS(I47/1000)*E47</f>
        <v>0.18465423491215893</v>
      </c>
      <c r="L47" s="15">
        <f t="shared" si="8"/>
        <v>0.112183617808116</v>
      </c>
      <c r="M47" s="15">
        <v>1.9846116902480599</v>
      </c>
      <c r="N47" s="15" cm="1">
        <f t="array" ref="N47">(E47+2*D47-10537-VgB(M47)*1000)/4880</f>
        <v>0.25660634103836238</v>
      </c>
      <c r="O47" s="14">
        <f t="shared" si="7"/>
        <v>0.47493244929190642</v>
      </c>
    </row>
    <row r="48" spans="1:15" x14ac:dyDescent="0.3">
      <c r="A48" s="13"/>
      <c r="B48" s="17"/>
      <c r="C48" s="13" t="s">
        <v>23</v>
      </c>
      <c r="D48" s="13">
        <v>10234</v>
      </c>
      <c r="E48" s="13">
        <f>$B$47-D48</f>
        <v>1291</v>
      </c>
      <c r="F48" s="15" cm="1">
        <f t="array" ref="F48">als(E48/1000)</f>
        <v>0.35323357837174441</v>
      </c>
      <c r="G48" s="12">
        <v>3</v>
      </c>
      <c r="H48" s="15">
        <v>0.295416670819377</v>
      </c>
      <c r="I48" s="15">
        <v>5.08308464560994E-2</v>
      </c>
      <c r="J48" s="15">
        <f t="shared" si="6"/>
        <v>0.13536364714984761</v>
      </c>
      <c r="K48" s="15">
        <f>ABS(I48/1000)*E48</f>
        <v>6.5622622774824321E-2</v>
      </c>
      <c r="L48" s="15">
        <f t="shared" si="8"/>
        <v>5.08308464560994E-2</v>
      </c>
      <c r="M48" s="15">
        <v>3.0300779091087202</v>
      </c>
      <c r="N48" s="15" cm="1">
        <f t="array" ref="N48">(E48+2*D48-10537-VgB(M48)*1000)/4880</f>
        <v>0.27474162576768396</v>
      </c>
      <c r="O48" s="12">
        <f t="shared" si="7"/>
        <v>1.856862748826027</v>
      </c>
    </row>
    <row r="49" spans="3:15" x14ac:dyDescent="0.3">
      <c r="C49" t="s">
        <v>24</v>
      </c>
      <c r="D49">
        <v>10532</v>
      </c>
      <c r="E49">
        <f>$B$47-D49</f>
        <v>993</v>
      </c>
      <c r="F49" s="3" cm="1">
        <f t="array" ref="F49">als(E49/1000)</f>
        <v>0.40823857259604873</v>
      </c>
      <c r="G49" s="7">
        <v>3</v>
      </c>
      <c r="H49" s="3">
        <v>0.87517809793094103</v>
      </c>
      <c r="I49" s="3">
        <v>3.5786800194511899</v>
      </c>
      <c r="J49" s="3">
        <f t="shared" si="6"/>
        <v>0.30845122146902976</v>
      </c>
      <c r="K49" s="47">
        <f>ABS(I49/1000)*E49</f>
        <v>3.5536292593150312</v>
      </c>
      <c r="L49" s="3">
        <f t="shared" si="8"/>
        <v>3.5786800194511894</v>
      </c>
      <c r="M49" s="3">
        <v>3.92262981545097</v>
      </c>
      <c r="N49" s="3" cm="1">
        <f t="array" ref="N49">(E49+2*D49-10537-VgB(M49)*1000)/4880</f>
        <v>0.2927905805857231</v>
      </c>
      <c r="O49" s="9">
        <f t="shared" si="7"/>
        <v>8.5708473519710218</v>
      </c>
    </row>
    <row r="50" spans="3:15" x14ac:dyDescent="0.3">
      <c r="C50" t="s">
        <v>25</v>
      </c>
      <c r="D50">
        <v>10798</v>
      </c>
      <c r="E50" s="33">
        <f>$B$47-D50</f>
        <v>727</v>
      </c>
      <c r="F50" s="3" cm="1">
        <f t="array" ref="F50">als(E50/1000)</f>
        <v>0.50586122709278236</v>
      </c>
      <c r="G50" s="7">
        <v>3</v>
      </c>
      <c r="H50" s="3">
        <v>-0.33169596521310502</v>
      </c>
      <c r="I50" s="3"/>
      <c r="J50" s="3">
        <f t="shared" si="6"/>
        <v>8.5588497997845195E-2</v>
      </c>
      <c r="K50" s="3"/>
      <c r="L50" s="3">
        <f t="shared" si="8"/>
        <v>0</v>
      </c>
      <c r="M50" s="3">
        <v>4.72502535854019</v>
      </c>
      <c r="N50" s="3" cm="1">
        <f t="array" ref="N50">(E50+2*D50-10537-VgB(M50)*1000)/4880</f>
        <v>0.30981822256254066</v>
      </c>
      <c r="O50" s="9">
        <f t="shared" si="7"/>
        <v>0.59866531929996436</v>
      </c>
    </row>
    <row r="52" spans="3:15" x14ac:dyDescent="0.3">
      <c r="F52" s="3"/>
      <c r="G52" s="3"/>
      <c r="H52" s="3"/>
      <c r="I52" s="3"/>
      <c r="J52" s="3"/>
      <c r="K52" s="3"/>
      <c r="L52" s="3"/>
      <c r="M52" s="3"/>
      <c r="N52" s="3"/>
    </row>
  </sheetData>
  <conditionalFormatting sqref="B8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B40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5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8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95540-EB93-4360-B16F-5C6C987E2F62}">
  <sheetPr codeName="Full5">
    <pageSetUpPr fitToPage="1"/>
  </sheetPr>
  <dimension ref="A1:AH35"/>
  <sheetViews>
    <sheetView workbookViewId="0">
      <selection activeCell="S27" sqref="S27"/>
    </sheetView>
  </sheetViews>
  <sheetFormatPr defaultRowHeight="14.4" x14ac:dyDescent="0.3"/>
  <cols>
    <col min="1" max="1" width="7" customWidth="1"/>
    <col min="2" max="2" width="6" bestFit="1" customWidth="1"/>
    <col min="3" max="3" width="5.5546875" customWidth="1"/>
    <col min="4" max="4" width="6" bestFit="1" customWidth="1"/>
    <col min="5" max="5" width="6" customWidth="1"/>
    <col min="6" max="6" width="7.77734375" bestFit="1" customWidth="1"/>
    <col min="7" max="7" width="6.33203125" bestFit="1" customWidth="1"/>
    <col min="10" max="10" width="11.6640625" bestFit="1" customWidth="1"/>
    <col min="11" max="11" width="9.5546875" bestFit="1" customWidth="1"/>
    <col min="12" max="13" width="7.109375" customWidth="1"/>
    <col min="14" max="14" width="8" bestFit="1" customWidth="1"/>
    <col min="15" max="15" width="8.109375" bestFit="1" customWidth="1"/>
    <col min="17" max="17" width="7.21875" customWidth="1"/>
    <col min="18" max="18" width="6.33203125" customWidth="1"/>
    <col min="19" max="19" width="5.44140625" customWidth="1"/>
    <col min="20" max="20" width="5.21875" customWidth="1"/>
    <col min="21" max="21" width="5.5546875" customWidth="1"/>
    <col min="22" max="22" width="5.77734375" customWidth="1"/>
    <col min="23" max="23" width="4.5546875" bestFit="1" customWidth="1"/>
    <col min="24" max="24" width="6.109375" bestFit="1" customWidth="1"/>
    <col min="25" max="25" width="6.44140625" bestFit="1" customWidth="1"/>
    <col min="26" max="26" width="8.77734375" bestFit="1" customWidth="1"/>
    <col min="27" max="27" width="7.109375" bestFit="1" customWidth="1"/>
    <col min="28" max="28" width="8.109375" bestFit="1" customWidth="1"/>
    <col min="29" max="29" width="5.109375" bestFit="1" customWidth="1"/>
    <col min="30" max="30" width="5.44140625" bestFit="1" customWidth="1"/>
    <col min="31" max="31" width="6.109375" bestFit="1" customWidth="1"/>
    <col min="32" max="32" width="6.5546875" bestFit="1" customWidth="1"/>
    <col min="33" max="33" width="5.44140625" bestFit="1" customWidth="1"/>
    <col min="34" max="34" width="5.109375" bestFit="1" customWidth="1"/>
  </cols>
  <sheetData>
    <row r="1" spans="1:34" x14ac:dyDescent="0.3">
      <c r="A1" t="s">
        <v>44</v>
      </c>
      <c r="E1" t="s">
        <v>45</v>
      </c>
      <c r="G1" s="40" t="s">
        <v>104</v>
      </c>
      <c r="H1" s="5" t="s">
        <v>102</v>
      </c>
      <c r="I1" s="6" t="s">
        <v>101</v>
      </c>
      <c r="J1" s="5" t="s">
        <v>105</v>
      </c>
      <c r="K1" s="6" t="s">
        <v>101</v>
      </c>
      <c r="L1" s="5" t="s">
        <v>106</v>
      </c>
      <c r="M1" s="6"/>
      <c r="X1" s="21"/>
    </row>
    <row r="2" spans="1:34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4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59</v>
      </c>
      <c r="I3" s="1" t="s">
        <v>61</v>
      </c>
      <c r="J3" s="1" t="s">
        <v>100</v>
      </c>
      <c r="K3" s="1" t="s">
        <v>76</v>
      </c>
      <c r="L3" s="27" t="s">
        <v>73</v>
      </c>
      <c r="M3" s="27" t="s">
        <v>74</v>
      </c>
      <c r="N3" s="27" t="s">
        <v>78</v>
      </c>
      <c r="O3" s="1" t="s">
        <v>38</v>
      </c>
    </row>
    <row r="4" spans="1:34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95</v>
      </c>
      <c r="M4" s="27" t="s">
        <v>95</v>
      </c>
      <c r="N4" s="27"/>
      <c r="O4" s="1" t="s">
        <v>34</v>
      </c>
    </row>
    <row r="5" spans="1:34" x14ac:dyDescent="0.3">
      <c r="A5" s="30" t="s">
        <v>16</v>
      </c>
      <c r="B5" s="30">
        <v>4171</v>
      </c>
      <c r="C5" t="s">
        <v>20</v>
      </c>
      <c r="D5">
        <v>3457</v>
      </c>
      <c r="E5" s="33">
        <f t="shared" ref="E5:E8" si="0">$B$5-D5</f>
        <v>714</v>
      </c>
      <c r="F5" s="3" cm="1">
        <f t="array" ref="F5">als(E5/1000)</f>
        <v>0.51320717523938353</v>
      </c>
      <c r="G5" s="10">
        <v>0.33333333333333331</v>
      </c>
      <c r="H5" s="3">
        <v>0.94401564960064999</v>
      </c>
      <c r="I5" s="3">
        <v>3.31811616632982</v>
      </c>
      <c r="J5" s="3">
        <f t="shared" ref="J5:J18" si="1">SQRT(G5)*ABS(H5/1470)*E5</f>
        <v>0.26472773485927509</v>
      </c>
      <c r="K5" s="3">
        <f>ABS(I5/1000)*E5</f>
        <v>2.3691349427594917</v>
      </c>
      <c r="L5" s="3">
        <f>K5/(E5/1000)</f>
        <v>3.3181161663298204</v>
      </c>
      <c r="M5" s="3">
        <v>3.1414552694423699</v>
      </c>
      <c r="N5" s="3" cm="1">
        <f t="array" ref="N5">(E5+2*D5-3712-VgC(M5)*1000)/1470</f>
        <v>0.56665634740269721</v>
      </c>
      <c r="O5" s="9">
        <f t="shared" ref="O5:O18" si="2">(4/3)*F5*(1/3)*(1/2)*E5^3*G5*(H5/1470)^2</f>
        <v>5.706598329748152</v>
      </c>
      <c r="V5" s="3"/>
      <c r="W5" s="10"/>
      <c r="X5" s="3"/>
      <c r="Y5" s="3"/>
      <c r="Z5" s="3"/>
      <c r="AA5" s="3"/>
      <c r="AB5" s="7"/>
      <c r="AC5" s="10"/>
      <c r="AD5" s="10"/>
      <c r="AE5" s="10"/>
      <c r="AF5" s="10"/>
      <c r="AG5" s="10"/>
      <c r="AH5" s="7"/>
    </row>
    <row r="6" spans="1:34" x14ac:dyDescent="0.3">
      <c r="A6" s="30"/>
      <c r="B6" s="30"/>
      <c r="C6" t="s">
        <v>20</v>
      </c>
      <c r="D6">
        <v>3457</v>
      </c>
      <c r="E6" s="33">
        <f t="shared" si="0"/>
        <v>714</v>
      </c>
      <c r="F6" s="3" cm="1">
        <f t="array" ref="F6">als(E6/1000)</f>
        <v>0.51320717523938353</v>
      </c>
      <c r="G6" s="10">
        <v>1</v>
      </c>
      <c r="H6" s="3">
        <v>0.94401564960064999</v>
      </c>
      <c r="I6" s="3">
        <v>3.31811616632982</v>
      </c>
      <c r="J6" s="3">
        <f t="shared" si="1"/>
        <v>0.45852188694888713</v>
      </c>
      <c r="K6" s="3">
        <f t="shared" ref="K6:K7" si="3">ABS(I6/1000)*E6</f>
        <v>2.3691349427594917</v>
      </c>
      <c r="L6" s="3">
        <f t="shared" ref="L6:L18" si="4">K6/(E6/1000)</f>
        <v>3.3181161663298204</v>
      </c>
      <c r="M6" s="3">
        <v>3.1414552694423699</v>
      </c>
      <c r="N6" s="3" cm="1">
        <f t="array" ref="N6">(E6+2*D6-3712-VgC(M6)*1000)/1470</f>
        <v>0.56665634740269721</v>
      </c>
      <c r="O6" s="9">
        <f t="shared" si="2"/>
        <v>17.119794989244458</v>
      </c>
      <c r="V6" s="3"/>
      <c r="W6" s="10"/>
      <c r="X6" s="3"/>
      <c r="Y6" s="3"/>
      <c r="Z6" s="3"/>
      <c r="AA6" s="3"/>
      <c r="AB6" s="7"/>
      <c r="AC6" s="10"/>
      <c r="AD6" s="10"/>
      <c r="AE6" s="10"/>
      <c r="AF6" s="10"/>
      <c r="AG6" s="10"/>
      <c r="AH6" s="7"/>
    </row>
    <row r="7" spans="1:34" x14ac:dyDescent="0.3">
      <c r="A7" s="30"/>
      <c r="B7" s="30"/>
      <c r="C7" t="s">
        <v>20</v>
      </c>
      <c r="D7">
        <v>3457</v>
      </c>
      <c r="E7" s="33">
        <f t="shared" si="0"/>
        <v>714</v>
      </c>
      <c r="F7" s="3" cm="1">
        <f t="array" ref="F7">als(E7/1000)</f>
        <v>0.51320717523938353</v>
      </c>
      <c r="G7" s="10">
        <v>1.6666666666666667</v>
      </c>
      <c r="H7" s="3">
        <v>0.94401564960064999</v>
      </c>
      <c r="I7" s="3">
        <v>3.31811616632982</v>
      </c>
      <c r="J7" s="3">
        <f t="shared" si="1"/>
        <v>0.59194921067487993</v>
      </c>
      <c r="K7" s="3">
        <f t="shared" si="3"/>
        <v>2.3691349427594917</v>
      </c>
      <c r="L7" s="3">
        <f t="shared" si="4"/>
        <v>3.3181161663298204</v>
      </c>
      <c r="M7" s="3">
        <v>3.1414552694423699</v>
      </c>
      <c r="N7" s="3" cm="1">
        <f t="array" ref="N7">(E7+2*D7-3712-VgC(M7)*1000)/1470</f>
        <v>0.56665634740269721</v>
      </c>
      <c r="O7" s="9">
        <f t="shared" si="2"/>
        <v>28.532991648740762</v>
      </c>
      <c r="V7" s="3"/>
      <c r="W7" s="10"/>
      <c r="X7" s="3"/>
      <c r="Y7" s="3"/>
      <c r="Z7" s="3"/>
      <c r="AA7" s="3"/>
      <c r="AB7" s="7"/>
      <c r="AC7" s="10"/>
      <c r="AD7" s="10"/>
      <c r="AE7" s="10"/>
      <c r="AF7" s="10"/>
      <c r="AG7" s="10"/>
      <c r="AH7" s="7"/>
    </row>
    <row r="8" spans="1:34" x14ac:dyDescent="0.3">
      <c r="B8" s="2"/>
      <c r="C8" t="s">
        <v>23</v>
      </c>
      <c r="D8">
        <v>3958</v>
      </c>
      <c r="E8" s="33">
        <f t="shared" si="0"/>
        <v>213</v>
      </c>
      <c r="F8" s="3" cm="1">
        <f t="array" ref="F8">als(E8/1000)</f>
        <v>1</v>
      </c>
      <c r="G8" s="7">
        <v>3</v>
      </c>
      <c r="H8" s="3">
        <v>-0.325987950939021</v>
      </c>
      <c r="I8" s="3"/>
      <c r="J8" s="3">
        <f t="shared" si="1"/>
        <v>8.1813400513056106E-2</v>
      </c>
      <c r="K8" s="3"/>
      <c r="L8" s="3">
        <f t="shared" si="4"/>
        <v>0</v>
      </c>
      <c r="M8" s="3">
        <v>4.6577871743427401</v>
      </c>
      <c r="N8" s="3" cm="1">
        <f t="array" ref="N8">(E8+2*D8-3712-VgC(M8)*1000)/1470</f>
        <v>0.66877712321372118</v>
      </c>
      <c r="O8" s="9">
        <f t="shared" si="2"/>
        <v>0.31682247183279394</v>
      </c>
    </row>
    <row r="9" spans="1:34" x14ac:dyDescent="0.3">
      <c r="C9" t="s">
        <v>24</v>
      </c>
      <c r="D9">
        <v>4388</v>
      </c>
      <c r="E9" s="33"/>
      <c r="F9" s="3"/>
      <c r="G9" s="7"/>
      <c r="H9" s="3"/>
      <c r="I9" s="3"/>
      <c r="J9" s="3"/>
      <c r="K9" s="3"/>
      <c r="L9" s="3"/>
      <c r="M9" s="3"/>
      <c r="N9" s="3"/>
      <c r="O9" s="9"/>
    </row>
    <row r="10" spans="1:34" x14ac:dyDescent="0.3">
      <c r="C10" t="s">
        <v>25</v>
      </c>
      <c r="D10">
        <v>4774</v>
      </c>
      <c r="E10" s="33"/>
      <c r="F10" s="3"/>
      <c r="G10" s="7"/>
      <c r="H10" s="3"/>
      <c r="I10" s="3"/>
      <c r="J10" s="3"/>
      <c r="K10" s="3"/>
      <c r="L10" s="3"/>
      <c r="M10" s="3"/>
      <c r="N10" s="3"/>
      <c r="O10" s="9"/>
    </row>
    <row r="11" spans="1:34" x14ac:dyDescent="0.3">
      <c r="A11" s="13" t="s">
        <v>17</v>
      </c>
      <c r="B11" s="13">
        <v>4556</v>
      </c>
      <c r="C11" s="13" t="s">
        <v>20</v>
      </c>
      <c r="D11" s="13">
        <v>3457</v>
      </c>
      <c r="E11" s="13">
        <f>$B$11-D11</f>
        <v>1099</v>
      </c>
      <c r="F11" s="15" cm="1">
        <f t="array" ref="F11">als(E11/1000)</f>
        <v>0.38486099840001858</v>
      </c>
      <c r="G11" s="12">
        <v>3</v>
      </c>
      <c r="H11" s="15">
        <v>0.29051309365157102</v>
      </c>
      <c r="I11" s="15">
        <v>0.117715434780598</v>
      </c>
      <c r="J11" s="15">
        <f t="shared" si="1"/>
        <v>0.37618952304552489</v>
      </c>
      <c r="K11" s="15">
        <f t="shared" ref="K11" si="5">ABS(I11/1000)*E11</f>
        <v>0.1293692628238772</v>
      </c>
      <c r="L11" s="15">
        <f t="shared" si="4"/>
        <v>0.117715434780598</v>
      </c>
      <c r="M11" s="15">
        <v>3.1414552694423699</v>
      </c>
      <c r="N11" s="15" cm="1">
        <f t="array" ref="N11">(E11+2*D11-3712-VgC(M11)*1000)/1470</f>
        <v>0.82856110930745908</v>
      </c>
      <c r="O11" s="12">
        <f t="shared" si="2"/>
        <v>13.301556796741382</v>
      </c>
    </row>
    <row r="12" spans="1:34" x14ac:dyDescent="0.3">
      <c r="B12" s="2"/>
      <c r="C12" t="s">
        <v>23</v>
      </c>
      <c r="D12">
        <v>3958</v>
      </c>
      <c r="E12" s="33">
        <f>$B$11-D12</f>
        <v>598</v>
      </c>
      <c r="F12" s="3" cm="1">
        <f t="array" ref="F12">als(E12/1000)</f>
        <v>0.60146179818153211</v>
      </c>
      <c r="G12" s="7">
        <v>3</v>
      </c>
      <c r="H12" s="3">
        <v>0.86410890772163995</v>
      </c>
      <c r="I12" s="3"/>
      <c r="J12" s="3">
        <f t="shared" si="1"/>
        <v>0.60885371279261402</v>
      </c>
      <c r="K12" s="3"/>
      <c r="L12" s="3">
        <f t="shared" si="4"/>
        <v>0</v>
      </c>
      <c r="M12" s="3">
        <v>4.6577871743427401</v>
      </c>
      <c r="N12" s="3" cm="1">
        <f t="array" ref="N12">(E12+2*D12-3712-VgC(M12)*1000)/1470</f>
        <v>0.93068188511848304</v>
      </c>
      <c r="O12" s="9">
        <f t="shared" si="2"/>
        <v>29.62938491935223</v>
      </c>
      <c r="W12" s="16"/>
    </row>
    <row r="13" spans="1:34" x14ac:dyDescent="0.3">
      <c r="C13" t="s">
        <v>24</v>
      </c>
      <c r="D13">
        <v>4388</v>
      </c>
      <c r="E13" s="33">
        <f>$B$11-D13</f>
        <v>168</v>
      </c>
      <c r="F13" s="3" cm="1">
        <f t="array" ref="F13">als(E13/1000)</f>
        <v>1</v>
      </c>
      <c r="G13" s="7">
        <v>3</v>
      </c>
      <c r="H13" s="3">
        <v>-0.40188259865375098</v>
      </c>
      <c r="I13" s="3"/>
      <c r="J13" s="3">
        <f t="shared" si="1"/>
        <v>7.9552123376698106E-2</v>
      </c>
      <c r="K13" s="3"/>
      <c r="L13" s="3">
        <f t="shared" si="4"/>
        <v>0</v>
      </c>
      <c r="M13" s="3">
        <v>5.9690429745204998</v>
      </c>
      <c r="N13" s="3" cm="1">
        <f t="array" ref="N13">(E13+2*D13-3712-VgC(M13)*1000)/1470</f>
        <v>1.0237164700610555</v>
      </c>
      <c r="O13" s="9">
        <f t="shared" si="2"/>
        <v>0.23626550579301217</v>
      </c>
    </row>
    <row r="14" spans="1:34" x14ac:dyDescent="0.3">
      <c r="C14" t="s">
        <v>25</v>
      </c>
      <c r="D14">
        <v>4774</v>
      </c>
      <c r="E14" s="33"/>
      <c r="F14" s="3"/>
      <c r="G14" s="7"/>
      <c r="H14" s="3"/>
      <c r="I14" s="3"/>
      <c r="J14" s="3"/>
      <c r="K14" s="3"/>
      <c r="L14" s="3"/>
      <c r="M14" s="3"/>
      <c r="N14" s="3"/>
      <c r="O14" s="9"/>
    </row>
    <row r="15" spans="1:34" x14ac:dyDescent="0.3">
      <c r="A15" s="13" t="s">
        <v>18</v>
      </c>
      <c r="B15" s="13">
        <v>4912</v>
      </c>
      <c r="C15" s="13" t="s">
        <v>20</v>
      </c>
      <c r="D15" s="13">
        <v>3457</v>
      </c>
      <c r="E15" s="13">
        <f>$B$15-D15</f>
        <v>1455</v>
      </c>
      <c r="F15" s="15" cm="1">
        <f t="array" ref="F15">als(E15/1000)</f>
        <v>0.33317449313432662</v>
      </c>
      <c r="G15" s="12">
        <v>3</v>
      </c>
      <c r="H15" s="15">
        <v>0.12408486625901</v>
      </c>
      <c r="I15" s="15">
        <v>-0.12263426558543999</v>
      </c>
      <c r="J15" s="15">
        <f t="shared" si="1"/>
        <v>0.21272821839455569</v>
      </c>
      <c r="K15" s="15">
        <f t="shared" ref="K15:K16" si="6">ABS(I15/1000)*E15</f>
        <v>0.1784328564268152</v>
      </c>
      <c r="L15" s="15">
        <f t="shared" si="4"/>
        <v>0.12263426558543999</v>
      </c>
      <c r="M15" s="15">
        <v>3.1414552694423699</v>
      </c>
      <c r="N15" s="15" cm="1">
        <f t="array" ref="N15">(E15+2*D15-3712-VgC(M15)*1000)/1470</f>
        <v>1.0707379800557584</v>
      </c>
      <c r="O15" s="12">
        <f t="shared" si="2"/>
        <v>4.8749754278879696</v>
      </c>
    </row>
    <row r="16" spans="1:34" x14ac:dyDescent="0.3">
      <c r="A16" s="13"/>
      <c r="B16" s="17"/>
      <c r="C16" s="13" t="s">
        <v>23</v>
      </c>
      <c r="D16" s="13">
        <v>3958</v>
      </c>
      <c r="E16" s="13">
        <f>$B$15-D16</f>
        <v>954</v>
      </c>
      <c r="F16" s="15" cm="1">
        <f t="array" ref="F16">als(E16/1000)</f>
        <v>0.41837366965702139</v>
      </c>
      <c r="G16" s="12">
        <v>3</v>
      </c>
      <c r="H16" s="15">
        <v>0.32554347383062499</v>
      </c>
      <c r="I16" s="15">
        <v>0.314152332576002</v>
      </c>
      <c r="J16" s="15">
        <f t="shared" si="1"/>
        <v>0.36593222874608472</v>
      </c>
      <c r="K16" s="15">
        <f t="shared" si="6"/>
        <v>0.29970132527750593</v>
      </c>
      <c r="L16" s="15">
        <f t="shared" si="4"/>
        <v>0.31415233257600206</v>
      </c>
      <c r="M16" s="15">
        <v>4.6577871743427401</v>
      </c>
      <c r="N16" s="15" cm="1">
        <f t="array" ref="N16">(E16+2*D16-3712-VgC(M16)*1000)/1470</f>
        <v>1.1728587558667825</v>
      </c>
      <c r="O16" s="12">
        <f t="shared" si="2"/>
        <v>11.876856983545203</v>
      </c>
    </row>
    <row r="17" spans="1:23" x14ac:dyDescent="0.3">
      <c r="C17" t="s">
        <v>24</v>
      </c>
      <c r="D17">
        <v>4388</v>
      </c>
      <c r="E17" s="33">
        <f>$B$15-D17</f>
        <v>524</v>
      </c>
      <c r="F17" s="3" cm="1">
        <f t="array" ref="F17">als(E17/1000)</f>
        <v>0.69540193544537199</v>
      </c>
      <c r="G17" s="7">
        <v>3</v>
      </c>
      <c r="H17" s="3">
        <v>0.81871051748963097</v>
      </c>
      <c r="I17" s="3"/>
      <c r="J17" s="3">
        <f t="shared" si="1"/>
        <v>0.50548113170280107</v>
      </c>
      <c r="K17" s="3"/>
      <c r="L17" s="3">
        <f t="shared" si="4"/>
        <v>0</v>
      </c>
      <c r="M17" s="3">
        <v>5.9690429745204998</v>
      </c>
      <c r="N17" s="3" cm="1">
        <f t="array" ref="N17">(E17+2*D17-3712-VgC(M17)*1000)/1470</f>
        <v>1.2658933408093549</v>
      </c>
      <c r="O17" s="9">
        <f t="shared" si="2"/>
        <v>20.690194179325445</v>
      </c>
      <c r="W17" s="16"/>
    </row>
    <row r="18" spans="1:23" x14ac:dyDescent="0.3">
      <c r="C18" t="s">
        <v>25</v>
      </c>
      <c r="D18">
        <v>4774</v>
      </c>
      <c r="E18" s="33">
        <f>$B$15-D18</f>
        <v>138</v>
      </c>
      <c r="F18" s="3" cm="1">
        <f t="array" ref="F18">als(E18/1000)</f>
        <v>1</v>
      </c>
      <c r="G18" s="7">
        <v>3</v>
      </c>
      <c r="H18" s="3">
        <v>-0.442607891004895</v>
      </c>
      <c r="I18" s="3"/>
      <c r="J18" s="3">
        <f t="shared" si="1"/>
        <v>7.1968347617068884E-2</v>
      </c>
      <c r="K18" s="3"/>
      <c r="L18" s="3">
        <f t="shared" si="4"/>
        <v>0</v>
      </c>
      <c r="M18" s="3">
        <v>7.1525798485286902</v>
      </c>
      <c r="N18" s="3" cm="1">
        <f t="array" ref="N18">(E18+2*D18-3712-VgC(M18)*1000)/1470</f>
        <v>1.350850108250726</v>
      </c>
      <c r="O18" s="9">
        <f t="shared" si="2"/>
        <v>0.15883625380109215</v>
      </c>
    </row>
    <row r="19" spans="1:23" x14ac:dyDescent="0.3">
      <c r="E19" s="33"/>
      <c r="F19" s="3"/>
      <c r="G19" s="7"/>
      <c r="H19" s="3"/>
      <c r="I19" s="3"/>
      <c r="J19" s="3"/>
      <c r="K19" s="3"/>
      <c r="L19" s="3"/>
      <c r="M19" s="3"/>
      <c r="N19" s="3"/>
      <c r="O19" s="9"/>
    </row>
    <row r="20" spans="1:23" x14ac:dyDescent="0.3">
      <c r="A20" t="s">
        <v>44</v>
      </c>
      <c r="E20" t="s">
        <v>45</v>
      </c>
      <c r="G20" s="40" t="s">
        <v>104</v>
      </c>
      <c r="H20" s="5" t="s">
        <v>102</v>
      </c>
      <c r="I20" s="6" t="s">
        <v>101</v>
      </c>
      <c r="J20" s="5" t="s">
        <v>105</v>
      </c>
      <c r="K20" s="6" t="s">
        <v>101</v>
      </c>
      <c r="L20" s="5" t="s">
        <v>106</v>
      </c>
      <c r="M20" s="6"/>
      <c r="O20" s="4"/>
    </row>
    <row r="21" spans="1:23" x14ac:dyDescent="0.3">
      <c r="A21" s="1" t="s">
        <v>0</v>
      </c>
      <c r="B21" s="1"/>
      <c r="C21" s="1" t="s">
        <v>15</v>
      </c>
      <c r="D21" s="1"/>
      <c r="E21" s="1" t="s">
        <v>1</v>
      </c>
      <c r="F21" s="1"/>
      <c r="G21" s="1"/>
      <c r="H21" s="1"/>
      <c r="I21" s="1"/>
      <c r="J21" s="1"/>
      <c r="K21" s="1"/>
      <c r="L21" s="1"/>
      <c r="M21" s="1"/>
      <c r="N21" s="1"/>
      <c r="O21" s="23"/>
    </row>
    <row r="22" spans="1:23" x14ac:dyDescent="0.3">
      <c r="A22" s="1" t="s">
        <v>31</v>
      </c>
      <c r="B22" s="1" t="s">
        <v>42</v>
      </c>
      <c r="C22" s="1" t="s">
        <v>32</v>
      </c>
      <c r="D22" s="1" t="s">
        <v>33</v>
      </c>
      <c r="E22" s="1" t="s">
        <v>35</v>
      </c>
      <c r="F22" s="1" t="s">
        <v>36</v>
      </c>
      <c r="G22" s="1" t="s">
        <v>49</v>
      </c>
      <c r="H22" s="1" t="s">
        <v>7</v>
      </c>
      <c r="I22" s="1" t="s">
        <v>61</v>
      </c>
      <c r="J22" s="1" t="s">
        <v>100</v>
      </c>
      <c r="K22" s="1" t="s">
        <v>76</v>
      </c>
      <c r="L22" s="27" t="s">
        <v>73</v>
      </c>
      <c r="M22" s="27" t="s">
        <v>74</v>
      </c>
      <c r="N22" s="27" t="s">
        <v>78</v>
      </c>
      <c r="O22" s="23" t="s">
        <v>38</v>
      </c>
    </row>
    <row r="23" spans="1:23" x14ac:dyDescent="0.3">
      <c r="A23" s="1"/>
      <c r="B23" s="1" t="s">
        <v>34</v>
      </c>
      <c r="C23" s="1"/>
      <c r="D23" s="1" t="s">
        <v>34</v>
      </c>
      <c r="E23" s="1" t="s">
        <v>34</v>
      </c>
      <c r="F23" s="1"/>
      <c r="G23" s="1"/>
      <c r="H23" s="1" t="s">
        <v>37</v>
      </c>
      <c r="I23" s="1"/>
      <c r="J23" s="1"/>
      <c r="K23" s="1"/>
      <c r="L23" s="27" t="s">
        <v>95</v>
      </c>
      <c r="M23" s="27" t="s">
        <v>95</v>
      </c>
      <c r="N23" s="27"/>
      <c r="O23" s="23" t="s">
        <v>34</v>
      </c>
    </row>
    <row r="24" spans="1:23" x14ac:dyDescent="0.3">
      <c r="A24" s="13" t="s">
        <v>16</v>
      </c>
      <c r="B24" s="13">
        <v>10772</v>
      </c>
      <c r="C24" s="13" t="s">
        <v>20</v>
      </c>
      <c r="D24" s="13">
        <v>9879</v>
      </c>
      <c r="E24" s="13">
        <f>$B$24-D24</f>
        <v>893</v>
      </c>
      <c r="F24" s="15" cm="1">
        <f t="array" ref="F24">als(E24/1000)</f>
        <v>0.43638353429254639</v>
      </c>
      <c r="G24" s="12">
        <v>3</v>
      </c>
      <c r="H24" s="15">
        <v>0.84717278201390001</v>
      </c>
      <c r="I24" s="15">
        <v>2.0292795616359598</v>
      </c>
      <c r="J24" s="15">
        <f t="shared" ref="J24:J35" si="7">SQRT(G24)*ABS(H24/4880)*E24</f>
        <v>0.2685123456977726</v>
      </c>
      <c r="K24" s="35">
        <f>ABS(I24/1000)*E24</f>
        <v>1.8121466485409119</v>
      </c>
      <c r="L24" s="15">
        <f>K24/(E24/1000)</f>
        <v>2.0292795616359594</v>
      </c>
      <c r="M24" s="15">
        <v>3.1414552694423699</v>
      </c>
      <c r="N24" s="15" cm="1">
        <f t="array" ref="N24">(E24+2*D24-10537-VgB(M24)*1000)/4880</f>
        <v>4.2210006287288084E-2</v>
      </c>
      <c r="O24" s="12">
        <f t="shared" ref="O24:O35" si="8">(4/3)*F24*(1/3)*(1/2)*E24^3*G24*(H24/4880)^2</f>
        <v>6.2436107191380916</v>
      </c>
    </row>
    <row r="25" spans="1:23" x14ac:dyDescent="0.3">
      <c r="B25" s="2"/>
      <c r="C25" t="s">
        <v>23</v>
      </c>
      <c r="D25">
        <v>10234</v>
      </c>
      <c r="E25" s="33">
        <f>$B$24-D25</f>
        <v>538</v>
      </c>
      <c r="F25" s="3" cm="1">
        <f t="array" ref="F25">als(E25/1000)</f>
        <v>0.67396645729412075</v>
      </c>
      <c r="G25" s="7">
        <v>3</v>
      </c>
      <c r="H25" s="3">
        <v>-0.52509786103993805</v>
      </c>
      <c r="I25" s="3"/>
      <c r="J25" s="3">
        <f t="shared" si="7"/>
        <v>0.10026822576959019</v>
      </c>
      <c r="K25" s="3"/>
      <c r="L25" s="3">
        <f t="shared" ref="L25:L35" si="9">K25/(E25/1000)</f>
        <v>0</v>
      </c>
      <c r="M25" s="3">
        <v>4.6577871743427401</v>
      </c>
      <c r="N25" s="3" cm="1">
        <f t="array" ref="N25">(E25+2*D25-10537-VgB(M25)*1000)/4880</f>
        <v>4.3053764574625106E-2</v>
      </c>
      <c r="O25" s="9">
        <f t="shared" si="8"/>
        <v>0.81009267456906375</v>
      </c>
    </row>
    <row r="26" spans="1:23" x14ac:dyDescent="0.3">
      <c r="C26" t="s">
        <v>24</v>
      </c>
      <c r="D26">
        <v>10532</v>
      </c>
      <c r="E26" s="33">
        <f>$B$24-D26</f>
        <v>240</v>
      </c>
      <c r="F26" s="3" cm="1">
        <f t="array" ref="F26">als(E26/1000)</f>
        <v>1</v>
      </c>
      <c r="G26" s="7">
        <v>3</v>
      </c>
      <c r="H26" s="3">
        <v>6.3390771672306001E-2</v>
      </c>
      <c r="I26" s="3"/>
      <c r="J26" s="3">
        <f t="shared" si="7"/>
        <v>5.3998051115130442E-3</v>
      </c>
      <c r="K26" s="3"/>
      <c r="L26" s="3">
        <f t="shared" si="9"/>
        <v>0</v>
      </c>
      <c r="M26" s="3">
        <v>5.9690429745204998</v>
      </c>
      <c r="N26" s="3" cm="1">
        <f t="array" ref="N26">(E26+2*D26-10537-VgB(M26)*1000)/4880</f>
        <v>4.4029346514293376E-2</v>
      </c>
      <c r="O26" s="9">
        <f t="shared" si="8"/>
        <v>1.5550877462571951E-3</v>
      </c>
    </row>
    <row r="27" spans="1:23" x14ac:dyDescent="0.3">
      <c r="C27" t="s">
        <v>25</v>
      </c>
      <c r="D27">
        <v>10798</v>
      </c>
      <c r="E27" s="33"/>
      <c r="F27" s="3"/>
      <c r="G27" s="7"/>
      <c r="H27" s="3"/>
      <c r="I27" s="3"/>
      <c r="J27" s="3"/>
      <c r="K27" s="3"/>
      <c r="L27" s="3"/>
      <c r="M27" s="3"/>
      <c r="N27" s="3"/>
      <c r="O27" s="9"/>
    </row>
    <row r="28" spans="1:23" x14ac:dyDescent="0.3">
      <c r="A28" s="13" t="s">
        <v>17</v>
      </c>
      <c r="B28" s="13">
        <v>10995</v>
      </c>
      <c r="C28" s="13" t="s">
        <v>20</v>
      </c>
      <c r="D28" s="13">
        <v>9879</v>
      </c>
      <c r="E28" s="13">
        <f>$B$28-D28</f>
        <v>1116</v>
      </c>
      <c r="F28" s="15" cm="1">
        <f t="array" ref="F28">als(E28/1000)</f>
        <v>0.38157787661505249</v>
      </c>
      <c r="G28" s="12">
        <v>3</v>
      </c>
      <c r="H28" s="15">
        <v>0.43750548612972801</v>
      </c>
      <c r="I28" s="15">
        <v>0.55250045209477205</v>
      </c>
      <c r="J28" s="15">
        <f t="shared" si="7"/>
        <v>0.17329598592470483</v>
      </c>
      <c r="K28" s="15">
        <f>ABS(I28/1000)*E28</f>
        <v>0.61659050453776554</v>
      </c>
      <c r="L28" s="15">
        <f t="shared" si="9"/>
        <v>0.55250045209477194</v>
      </c>
      <c r="M28" s="15">
        <v>3.1414552694423699</v>
      </c>
      <c r="N28" s="15" cm="1">
        <f t="array" ref="N28">(E28+2*D28-10537-VgB(M28)*1000)/4880</f>
        <v>8.7906727598763487E-2</v>
      </c>
      <c r="O28" s="12">
        <f t="shared" si="8"/>
        <v>2.8419201689270026</v>
      </c>
    </row>
    <row r="29" spans="1:23" x14ac:dyDescent="0.3">
      <c r="B29" s="2"/>
      <c r="C29" t="s">
        <v>23</v>
      </c>
      <c r="D29">
        <v>10234</v>
      </c>
      <c r="E29" s="33">
        <f>$B$28-D29</f>
        <v>761</v>
      </c>
      <c r="F29" s="3" cm="1">
        <f t="array" ref="F29">als(E29/1000)</f>
        <v>0.48829249406794234</v>
      </c>
      <c r="G29" s="7">
        <v>3</v>
      </c>
      <c r="H29" s="3">
        <v>0.62999389437046205</v>
      </c>
      <c r="I29" s="3"/>
      <c r="J29" s="3">
        <f t="shared" si="7"/>
        <v>0.170161694856445</v>
      </c>
      <c r="K29" s="3"/>
      <c r="L29" s="3">
        <f t="shared" si="9"/>
        <v>0</v>
      </c>
      <c r="M29" s="3">
        <v>4.6577871743427401</v>
      </c>
      <c r="N29" s="3" cm="1">
        <f t="array" ref="N29">(E29+2*D29-10537-VgB(M29)*1000)/4880</f>
        <v>8.8750485886100516E-2</v>
      </c>
      <c r="O29" s="9">
        <f t="shared" si="8"/>
        <v>2.3909791923583112</v>
      </c>
    </row>
    <row r="30" spans="1:23" x14ac:dyDescent="0.3">
      <c r="C30" t="s">
        <v>24</v>
      </c>
      <c r="D30">
        <v>10532</v>
      </c>
      <c r="E30" s="33">
        <f>$B$28-D30</f>
        <v>463</v>
      </c>
      <c r="F30" s="3" cm="1">
        <f t="array" ref="F30">als(E30/1000)</f>
        <v>0.82155395653179231</v>
      </c>
      <c r="G30" s="7">
        <v>3</v>
      </c>
      <c r="H30" s="3">
        <v>-0.62983123881818803</v>
      </c>
      <c r="I30" s="3"/>
      <c r="J30" s="3">
        <f t="shared" si="7"/>
        <v>0.10350134504056761</v>
      </c>
      <c r="K30" s="3"/>
      <c r="L30" s="3">
        <f t="shared" si="9"/>
        <v>0</v>
      </c>
      <c r="M30" s="3">
        <v>5.9690429745204998</v>
      </c>
      <c r="N30" s="3" cm="1">
        <f t="array" ref="N30">(E30+2*D30-10537-VgB(M30)*1000)/4880</f>
        <v>8.9726067825768793E-2</v>
      </c>
      <c r="O30" s="9">
        <f t="shared" si="8"/>
        <v>0.90551689154287796</v>
      </c>
    </row>
    <row r="31" spans="1:23" x14ac:dyDescent="0.3">
      <c r="C31" t="s">
        <v>25</v>
      </c>
      <c r="D31">
        <v>10798</v>
      </c>
      <c r="E31" s="33">
        <f>$B$28-D31</f>
        <v>197</v>
      </c>
      <c r="F31" s="3" cm="1">
        <f t="array" ref="F31">als(E31/1000)</f>
        <v>1</v>
      </c>
      <c r="G31" s="7">
        <v>3</v>
      </c>
      <c r="H31" s="3">
        <v>8.7395591360588706E-2</v>
      </c>
      <c r="I31" s="3"/>
      <c r="J31" s="3">
        <f t="shared" si="7"/>
        <v>6.1107787100473862E-3</v>
      </c>
      <c r="K31" s="3"/>
      <c r="L31" s="3">
        <f t="shared" si="9"/>
        <v>0</v>
      </c>
      <c r="M31" s="3">
        <v>7.1525798485286902</v>
      </c>
      <c r="N31" s="3" cm="1">
        <f t="array" ref="N31">(E31+2*D31-10537-VgB(M31)*1000)/4880</f>
        <v>9.0727389165690356E-2</v>
      </c>
      <c r="O31" s="9">
        <f t="shared" si="8"/>
        <v>1.6347329865120394E-3</v>
      </c>
    </row>
    <row r="32" spans="1:23" x14ac:dyDescent="0.3">
      <c r="A32" s="13" t="s">
        <v>18</v>
      </c>
      <c r="B32" s="13">
        <v>11209</v>
      </c>
      <c r="C32" s="13" t="s">
        <v>20</v>
      </c>
      <c r="D32" s="13">
        <v>9879</v>
      </c>
      <c r="E32" s="13">
        <f>$B$32-D32</f>
        <v>1330</v>
      </c>
      <c r="F32" s="15" cm="1">
        <f t="array" ref="F32">als(E32/1000)</f>
        <v>0.34799842113136747</v>
      </c>
      <c r="G32" s="12">
        <v>3</v>
      </c>
      <c r="H32" s="15">
        <v>0.234857684181874</v>
      </c>
      <c r="I32" s="15">
        <v>0.126195222110114</v>
      </c>
      <c r="J32" s="15">
        <f t="shared" si="7"/>
        <v>0.11086570435712943</v>
      </c>
      <c r="K32" s="15">
        <f>ABS(I32/1000)*E32</f>
        <v>0.16783964540645163</v>
      </c>
      <c r="L32" s="15">
        <f t="shared" si="9"/>
        <v>0.126195222110114</v>
      </c>
      <c r="M32" s="15">
        <v>3.1414552694423699</v>
      </c>
      <c r="N32" s="15" cm="1">
        <f t="array" ref="N32">(E32+2*D32-10537-VgB(M32)*1000)/4880</f>
        <v>0.13175918661515693</v>
      </c>
      <c r="O32" s="14">
        <f t="shared" si="8"/>
        <v>1.2641856078796405</v>
      </c>
    </row>
    <row r="33" spans="1:15" x14ac:dyDescent="0.3">
      <c r="A33" s="13"/>
      <c r="B33" s="17"/>
      <c r="C33" s="13" t="s">
        <v>23</v>
      </c>
      <c r="D33" s="13">
        <v>10234</v>
      </c>
      <c r="E33" s="13">
        <f>$B$32-D33</f>
        <v>975</v>
      </c>
      <c r="F33" s="15" cm="1">
        <f t="array" ref="F33">als(E33/1000)</f>
        <v>0.41279711872026648</v>
      </c>
      <c r="G33" s="12">
        <v>3</v>
      </c>
      <c r="H33" s="15">
        <v>0.44077144471732699</v>
      </c>
      <c r="I33" s="15">
        <v>0.83847373639290201</v>
      </c>
      <c r="J33" s="15">
        <f t="shared" si="7"/>
        <v>0.15253126503207956</v>
      </c>
      <c r="K33" s="15">
        <f>ABS(I33/1000)*E33</f>
        <v>0.81751189298307947</v>
      </c>
      <c r="L33" s="15">
        <f t="shared" si="9"/>
        <v>0.83847373639290201</v>
      </c>
      <c r="M33" s="15">
        <v>4.6577871743427401</v>
      </c>
      <c r="N33" s="15" cm="1">
        <f t="array" ref="N33">(E33+2*D33-10537-VgB(M33)*1000)/4880</f>
        <v>0.13260294490249397</v>
      </c>
      <c r="O33" s="14">
        <f t="shared" si="8"/>
        <v>2.0808774481888985</v>
      </c>
    </row>
    <row r="34" spans="1:15" x14ac:dyDescent="0.3">
      <c r="C34" t="s">
        <v>24</v>
      </c>
      <c r="D34">
        <v>10532</v>
      </c>
      <c r="E34" s="33">
        <f>$B$32-D34</f>
        <v>677</v>
      </c>
      <c r="F34" s="3" cm="1">
        <f t="array" ref="F34">als(E34/1000)</f>
        <v>0.53639447178445043</v>
      </c>
      <c r="G34" s="7">
        <v>3</v>
      </c>
      <c r="H34" s="3">
        <v>0.51214257761385196</v>
      </c>
      <c r="I34" s="3"/>
      <c r="J34" s="3">
        <f t="shared" si="7"/>
        <v>0.12306097651724715</v>
      </c>
      <c r="K34" s="3"/>
      <c r="L34" s="3">
        <f t="shared" si="9"/>
        <v>0</v>
      </c>
      <c r="M34" s="3">
        <v>5.9690429745204998</v>
      </c>
      <c r="N34" s="3" cm="1">
        <f t="array" ref="N34">(E34+2*D34-10537-VgB(M34)*1000)/4880</f>
        <v>0.13357852684216223</v>
      </c>
      <c r="O34" s="9">
        <f t="shared" si="8"/>
        <v>1.2220842925566384</v>
      </c>
    </row>
    <row r="35" spans="1:15" x14ac:dyDescent="0.3">
      <c r="C35" t="s">
        <v>25</v>
      </c>
      <c r="D35">
        <v>10798</v>
      </c>
      <c r="E35" s="33">
        <f>$B$32-D35</f>
        <v>411</v>
      </c>
      <c r="F35" s="3" cm="1">
        <f t="array" ref="F35">als(E35/1000)</f>
        <v>1</v>
      </c>
      <c r="G35" s="7">
        <v>3</v>
      </c>
      <c r="H35" s="3">
        <v>-0.68143587043762299</v>
      </c>
      <c r="I35" s="3"/>
      <c r="J35" s="3">
        <f t="shared" si="7"/>
        <v>9.9404860025785038E-2</v>
      </c>
      <c r="K35" s="3"/>
      <c r="L35" s="3">
        <f t="shared" si="9"/>
        <v>0</v>
      </c>
      <c r="M35" s="3">
        <v>7.1525798485286902</v>
      </c>
      <c r="N35" s="3" cm="1">
        <f t="array" ref="N35">(E35+2*D35-10537-VgB(M35)*1000)/4880</f>
        <v>0.13457984818208379</v>
      </c>
      <c r="O35" s="9">
        <f t="shared" si="8"/>
        <v>0.90249445930279404</v>
      </c>
    </row>
  </sheetData>
  <phoneticPr fontId="9" type="noConversion"/>
  <conditionalFormatting sqref="B8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B25">
    <cfRule type="iconSet" priority="1">
      <iconSet iconSet="3Arrows">
        <cfvo type="percent" val="0"/>
        <cfvo type="percent" val="33"/>
        <cfvo type="percent" val="67"/>
      </iconSet>
    </cfRule>
  </conditionalFormatting>
  <conditionalFormatting sqref="C37">
    <cfRule type="iconSet" priority="2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9CAF2-EC14-4538-9892-EF114F253081}">
  <sheetPr codeName="Full6">
    <pageSetUpPr fitToPage="1"/>
  </sheetPr>
  <dimension ref="A1:AK68"/>
  <sheetViews>
    <sheetView topLeftCell="A46" workbookViewId="0">
      <selection activeCell="E56" sqref="E56:Q56"/>
    </sheetView>
  </sheetViews>
  <sheetFormatPr defaultRowHeight="14.4" x14ac:dyDescent="0.3"/>
  <cols>
    <col min="1" max="1" width="9.5546875" customWidth="1"/>
    <col min="2" max="2" width="6" bestFit="1" customWidth="1"/>
    <col min="3" max="3" width="5.88671875" customWidth="1"/>
    <col min="4" max="4" width="6" bestFit="1" customWidth="1"/>
    <col min="5" max="5" width="5" customWidth="1"/>
    <col min="6" max="6" width="6" customWidth="1"/>
    <col min="7" max="7" width="4.6640625" customWidth="1"/>
    <col min="8" max="8" width="6.33203125" bestFit="1" customWidth="1"/>
    <col min="9" max="9" width="8.5546875" bestFit="1" customWidth="1"/>
    <col min="10" max="10" width="5.5546875" customWidth="1"/>
    <col min="11" max="11" width="10.21875" bestFit="1" customWidth="1"/>
    <col min="12" max="12" width="11.6640625" bestFit="1" customWidth="1"/>
    <col min="13" max="13" width="9.5546875" bestFit="1" customWidth="1"/>
    <col min="14" max="15" width="7.109375" bestFit="1" customWidth="1"/>
    <col min="16" max="16" width="8" bestFit="1" customWidth="1"/>
    <col min="17" max="17" width="8.109375" bestFit="1" customWidth="1"/>
    <col min="18" max="18" width="8.77734375" customWidth="1"/>
    <col min="19" max="20" width="6.77734375" customWidth="1"/>
    <col min="21" max="21" width="6.5546875" customWidth="1"/>
    <col min="22" max="22" width="5.5546875" customWidth="1"/>
    <col min="23" max="23" width="4.33203125" customWidth="1"/>
    <col min="24" max="24" width="4.5546875" customWidth="1"/>
    <col min="25" max="25" width="4.6640625" customWidth="1"/>
    <col min="26" max="26" width="5.5546875" customWidth="1"/>
    <col min="27" max="27" width="4.44140625" customWidth="1"/>
    <col min="28" max="28" width="5.21875" customWidth="1"/>
    <col min="29" max="29" width="5.33203125" customWidth="1"/>
    <col min="30" max="30" width="4.77734375" customWidth="1"/>
    <col min="31" max="31" width="6.77734375" customWidth="1"/>
    <col min="32" max="32" width="4.5546875" customWidth="1"/>
    <col min="33" max="33" width="5.77734375" customWidth="1"/>
    <col min="34" max="34" width="5.33203125" customWidth="1"/>
    <col min="35" max="36" width="4.88671875" customWidth="1"/>
    <col min="37" max="37" width="5.21875" customWidth="1"/>
  </cols>
  <sheetData>
    <row r="1" spans="1:37" x14ac:dyDescent="0.3">
      <c r="A1" t="s">
        <v>44</v>
      </c>
      <c r="E1" t="s">
        <v>45</v>
      </c>
      <c r="H1" s="40" t="s">
        <v>104</v>
      </c>
      <c r="I1" s="5" t="s">
        <v>102</v>
      </c>
      <c r="J1" s="6" t="s">
        <v>101</v>
      </c>
      <c r="K1" s="5" t="s">
        <v>105</v>
      </c>
      <c r="L1" s="6" t="s">
        <v>101</v>
      </c>
      <c r="M1" s="5" t="s">
        <v>106</v>
      </c>
      <c r="N1" s="6"/>
      <c r="Z1" s="21"/>
    </row>
    <row r="2" spans="1:37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AJ2" s="16"/>
    </row>
    <row r="3" spans="1:37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21</v>
      </c>
      <c r="I3" s="1" t="s">
        <v>22</v>
      </c>
      <c r="J3" s="1" t="s">
        <v>62</v>
      </c>
      <c r="K3" s="1" t="s">
        <v>63</v>
      </c>
      <c r="L3" s="1" t="s">
        <v>100</v>
      </c>
      <c r="M3" s="1" t="s">
        <v>76</v>
      </c>
      <c r="N3" s="27" t="s">
        <v>73</v>
      </c>
      <c r="O3" s="27" t="s">
        <v>74</v>
      </c>
      <c r="P3" s="27" t="s">
        <v>78</v>
      </c>
      <c r="Q3" s="1" t="s">
        <v>38</v>
      </c>
    </row>
    <row r="4" spans="1:37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 t="s">
        <v>37</v>
      </c>
      <c r="J4" s="1"/>
      <c r="K4" s="1"/>
      <c r="L4" s="1"/>
      <c r="M4" s="1"/>
      <c r="N4" s="27" t="s">
        <v>95</v>
      </c>
      <c r="O4" s="27" t="s">
        <v>95</v>
      </c>
      <c r="P4" s="27"/>
      <c r="Q4" s="1" t="s">
        <v>34</v>
      </c>
    </row>
    <row r="5" spans="1:37" x14ac:dyDescent="0.3">
      <c r="A5" t="s">
        <v>19</v>
      </c>
      <c r="B5">
        <v>4028</v>
      </c>
      <c r="C5" t="s">
        <v>3</v>
      </c>
      <c r="D5">
        <v>3068</v>
      </c>
      <c r="E5">
        <f t="shared" ref="E5:E9" si="0">$B$5-D5</f>
        <v>960</v>
      </c>
      <c r="F5" s="10" cm="1">
        <f t="array" ref="F5">als(E5/1000)</f>
        <v>0.41675073100517551</v>
      </c>
      <c r="G5" s="10">
        <v>3</v>
      </c>
      <c r="H5" s="10"/>
      <c r="I5" s="10">
        <v>-0.90838566590626002</v>
      </c>
      <c r="J5" s="10"/>
      <c r="K5" s="10">
        <v>-2.2072401611807901</v>
      </c>
      <c r="L5" s="31">
        <f>SQRT(G5)*ABS(I5/1470)*E5</f>
        <v>1.0275070212028929</v>
      </c>
      <c r="M5" s="31">
        <f>ABS(K5/1000)*E5</f>
        <v>2.1189505547335585</v>
      </c>
      <c r="N5" s="3">
        <f>M5/(E5/1000)</f>
        <v>2.2072401611807901</v>
      </c>
      <c r="O5" s="10">
        <v>2.0555394826094102</v>
      </c>
      <c r="P5" s="3" cm="1">
        <f t="array" ref="P5">(E5+2*D5-3712-VgC(O5)*1000)/1470</f>
        <v>0.39103175575211291</v>
      </c>
      <c r="Q5" s="9">
        <f>(4/3)*F5*(1/3)*(1/2)*E5^3*G5*(I5/1470)^2</f>
        <v>93.865216445703027</v>
      </c>
      <c r="W5" s="10"/>
      <c r="X5" s="10"/>
      <c r="Y5" s="10"/>
      <c r="Z5" s="10"/>
      <c r="AA5" s="10"/>
      <c r="AB5" s="10"/>
      <c r="AC5" s="10"/>
      <c r="AD5" s="10"/>
      <c r="AE5" s="7"/>
      <c r="AF5" s="10"/>
      <c r="AG5" s="10"/>
      <c r="AH5" s="10"/>
      <c r="AI5" s="10"/>
      <c r="AJ5" s="10"/>
      <c r="AK5" s="7"/>
    </row>
    <row r="6" spans="1:37" x14ac:dyDescent="0.3">
      <c r="B6" s="2"/>
      <c r="C6" t="s">
        <v>4</v>
      </c>
      <c r="D6">
        <v>3674</v>
      </c>
      <c r="E6" s="33">
        <f t="shared" si="0"/>
        <v>354</v>
      </c>
      <c r="F6" s="10" cm="1">
        <f t="array" ref="F6">als(E6/1000)</f>
        <v>1</v>
      </c>
      <c r="G6" s="10">
        <v>3</v>
      </c>
      <c r="H6" s="10"/>
      <c r="I6" s="10">
        <v>0.36723779660428701</v>
      </c>
      <c r="J6" s="10"/>
      <c r="K6" s="10"/>
      <c r="L6" s="10">
        <f>SQRT(G6)*ABS(I6/1470)*E6</f>
        <v>0.15317712983068552</v>
      </c>
      <c r="M6" s="10"/>
      <c r="N6" s="3">
        <f t="shared" ref="N6:N29" si="1">M6/(E6/1000)</f>
        <v>0</v>
      </c>
      <c r="O6" s="10">
        <v>3.83841691381935</v>
      </c>
      <c r="P6" s="3" cm="1">
        <f t="array" ref="P6">(E6+2*D6-3712-VgC(O6)*1000)/1470</f>
        <v>0.50562322485194411</v>
      </c>
      <c r="Q6" s="9">
        <f>(4/3)*F6*(1/3)*(1/2)*E6^3*G6*(I6/1470)^2</f>
        <v>1.8457743374491131</v>
      </c>
      <c r="W6" s="10"/>
      <c r="X6" s="10"/>
      <c r="Y6" s="10"/>
      <c r="Z6" s="10"/>
      <c r="AA6" s="10"/>
      <c r="AB6" s="10"/>
      <c r="AC6" s="10"/>
      <c r="AD6" s="10"/>
      <c r="AE6" s="7"/>
      <c r="AF6" s="10"/>
      <c r="AG6" s="10"/>
      <c r="AH6" s="10"/>
      <c r="AI6" s="10"/>
      <c r="AJ6" s="10"/>
      <c r="AK6" s="7"/>
    </row>
    <row r="7" spans="1:37" x14ac:dyDescent="0.3">
      <c r="C7" t="s">
        <v>5</v>
      </c>
      <c r="D7">
        <v>4149</v>
      </c>
      <c r="E7" s="33"/>
      <c r="F7" s="10"/>
      <c r="G7" s="10"/>
      <c r="H7" s="10"/>
      <c r="I7" s="10"/>
      <c r="J7" s="10"/>
      <c r="K7" s="10"/>
      <c r="L7" s="10"/>
      <c r="M7" s="10"/>
      <c r="N7" s="3"/>
      <c r="O7" s="10"/>
      <c r="P7" s="3"/>
      <c r="Q7" s="9"/>
      <c r="W7" s="10"/>
      <c r="X7" s="10"/>
      <c r="Y7" s="10"/>
      <c r="Z7" s="10"/>
      <c r="AA7" s="10"/>
      <c r="AB7" s="10"/>
      <c r="AC7" s="10"/>
      <c r="AD7" s="10"/>
      <c r="AE7" s="7"/>
      <c r="AF7" s="10"/>
      <c r="AG7" s="10"/>
      <c r="AH7" s="10"/>
      <c r="AI7" s="10"/>
      <c r="AJ7" s="10"/>
      <c r="AK7" s="7"/>
    </row>
    <row r="8" spans="1:37" x14ac:dyDescent="0.3">
      <c r="C8" t="s">
        <v>6</v>
      </c>
      <c r="D8">
        <v>4562</v>
      </c>
      <c r="E8" s="33"/>
      <c r="F8" s="10"/>
      <c r="G8" s="10"/>
      <c r="H8" s="10"/>
      <c r="I8" s="10"/>
      <c r="J8" s="10"/>
      <c r="K8" s="10"/>
      <c r="L8" s="10"/>
      <c r="M8" s="10"/>
      <c r="N8" s="3"/>
      <c r="O8" s="10"/>
      <c r="P8" s="3"/>
      <c r="Q8" s="9"/>
      <c r="W8" s="10"/>
      <c r="X8" s="10"/>
      <c r="Y8" s="10"/>
      <c r="Z8" s="10"/>
      <c r="AA8" s="10"/>
      <c r="AB8" s="10"/>
      <c r="AC8" s="10"/>
      <c r="AD8" s="10"/>
      <c r="AE8" s="4"/>
      <c r="AF8" s="10"/>
      <c r="AG8" s="10"/>
      <c r="AH8" s="10"/>
      <c r="AI8" s="10"/>
      <c r="AJ8" s="10"/>
      <c r="AK8" s="4"/>
    </row>
    <row r="9" spans="1:37" x14ac:dyDescent="0.3">
      <c r="C9" t="s">
        <v>8</v>
      </c>
      <c r="D9">
        <v>3762</v>
      </c>
      <c r="E9" s="33">
        <f t="shared" si="0"/>
        <v>266</v>
      </c>
      <c r="F9" s="10" cm="1">
        <f t="array" ref="F9">als(E9/1000)</f>
        <v>1</v>
      </c>
      <c r="G9" s="10">
        <v>3</v>
      </c>
      <c r="H9" s="10">
        <v>-0.19343003949291199</v>
      </c>
      <c r="I9" s="10"/>
      <c r="J9" s="10"/>
      <c r="K9" s="10"/>
      <c r="L9" s="10">
        <f>SQRT(G9)*ABS(H9/1470)*E9</f>
        <v>6.0624594915464597E-2</v>
      </c>
      <c r="M9" s="10"/>
      <c r="N9" s="3">
        <f t="shared" si="1"/>
        <v>0</v>
      </c>
      <c r="O9" s="10">
        <v>4.04512267054809</v>
      </c>
      <c r="P9" s="3" cm="1">
        <f t="array" ref="P9">(E9+2*D9-3712-VgC(O9)*1000)/1470</f>
        <v>0.53308118082463063</v>
      </c>
      <c r="Q9" s="9">
        <f>(4/3)*F9*(1/3)*(1/2)*E9^3*G9*(H9/1470)^2</f>
        <v>0.21725352028992687</v>
      </c>
      <c r="W9" s="10"/>
      <c r="X9" s="10"/>
      <c r="Y9" s="10"/>
      <c r="Z9" s="10"/>
      <c r="AA9" s="10"/>
      <c r="AB9" s="10"/>
      <c r="AC9" s="10"/>
      <c r="AD9" s="10"/>
      <c r="AE9" s="7"/>
      <c r="AF9" s="10"/>
      <c r="AG9" s="10"/>
      <c r="AH9" s="10"/>
      <c r="AI9" s="10"/>
      <c r="AJ9" s="10"/>
      <c r="AK9" s="7"/>
    </row>
    <row r="10" spans="1:37" x14ac:dyDescent="0.3">
      <c r="C10" t="s">
        <v>9</v>
      </c>
      <c r="D10">
        <v>4209</v>
      </c>
      <c r="E10" s="33"/>
      <c r="F10" s="10"/>
      <c r="G10" s="10"/>
      <c r="H10" s="10"/>
      <c r="I10" s="10"/>
      <c r="J10" s="10"/>
      <c r="K10" s="10"/>
      <c r="L10" s="10"/>
      <c r="M10" s="10"/>
      <c r="N10" s="3"/>
      <c r="O10" s="10"/>
      <c r="P10" s="3"/>
      <c r="Q10" s="9"/>
      <c r="W10" s="10"/>
      <c r="X10" s="10"/>
      <c r="Y10" s="10"/>
      <c r="Z10" s="10"/>
      <c r="AA10" s="10"/>
      <c r="AB10" s="10"/>
      <c r="AC10" s="10"/>
      <c r="AD10" s="10"/>
      <c r="AE10" s="7"/>
      <c r="AF10" s="10"/>
      <c r="AG10" s="10"/>
      <c r="AH10" s="10"/>
      <c r="AI10" s="10"/>
      <c r="AJ10" s="10"/>
      <c r="AK10" s="7"/>
    </row>
    <row r="11" spans="1:37" x14ac:dyDescent="0.3">
      <c r="C11" t="s">
        <v>10</v>
      </c>
      <c r="D11">
        <v>4608</v>
      </c>
      <c r="E11" s="33"/>
      <c r="F11" s="10"/>
      <c r="G11" s="10"/>
      <c r="H11" s="10"/>
      <c r="I11" s="10"/>
      <c r="J11" s="10"/>
      <c r="K11" s="10"/>
      <c r="L11" s="10"/>
      <c r="M11" s="10"/>
      <c r="N11" s="3"/>
      <c r="O11" s="10"/>
      <c r="P11" s="3"/>
      <c r="Q11" s="9"/>
      <c r="W11" s="10"/>
      <c r="X11" s="10"/>
      <c r="Y11" s="10"/>
      <c r="Z11" s="10"/>
      <c r="AA11" s="10"/>
      <c r="AB11" s="10"/>
      <c r="AC11" s="10"/>
      <c r="AD11" s="10"/>
      <c r="AE11" s="7"/>
      <c r="AF11" s="10"/>
      <c r="AG11" s="10"/>
      <c r="AH11" s="10"/>
      <c r="AI11" s="10"/>
      <c r="AJ11" s="10"/>
      <c r="AK11" s="7"/>
    </row>
    <row r="12" spans="1:37" x14ac:dyDescent="0.3">
      <c r="C12" t="s">
        <v>11</v>
      </c>
      <c r="D12">
        <v>4974</v>
      </c>
      <c r="E12" s="33"/>
      <c r="F12" s="10"/>
      <c r="G12" s="10"/>
      <c r="H12" s="10"/>
      <c r="I12" s="10"/>
      <c r="J12" s="10"/>
      <c r="K12" s="10"/>
      <c r="L12" s="10"/>
      <c r="M12" s="10"/>
      <c r="N12" s="3"/>
      <c r="O12" s="10"/>
      <c r="P12" s="3"/>
      <c r="Q12" s="9"/>
      <c r="W12" s="10"/>
      <c r="X12" s="10"/>
      <c r="Y12" s="10"/>
      <c r="Z12" s="10"/>
      <c r="AA12" s="10"/>
      <c r="AB12" s="10"/>
      <c r="AC12" s="10"/>
      <c r="AD12" s="10"/>
      <c r="AE12" s="7"/>
      <c r="AF12" s="10"/>
      <c r="AG12" s="10"/>
      <c r="AH12" s="10"/>
      <c r="AI12" s="10"/>
      <c r="AJ12" s="10"/>
      <c r="AK12" s="7"/>
    </row>
    <row r="13" spans="1:37" x14ac:dyDescent="0.3">
      <c r="A13" s="13" t="s">
        <v>30</v>
      </c>
      <c r="B13" s="13">
        <v>4394</v>
      </c>
      <c r="C13" s="13" t="s">
        <v>3</v>
      </c>
      <c r="D13" s="13">
        <v>3068</v>
      </c>
      <c r="E13" s="13">
        <f t="shared" ref="E13:E18" si="2">$B$13-D13</f>
        <v>1326</v>
      </c>
      <c r="F13" s="11" cm="1">
        <f t="array" ref="F13">als(E13/1000)</f>
        <v>0.34852052664805511</v>
      </c>
      <c r="G13" s="11">
        <v>3</v>
      </c>
      <c r="H13" s="11"/>
      <c r="I13" s="11">
        <v>-0.36099782459252899</v>
      </c>
      <c r="J13" s="11"/>
      <c r="K13" s="11">
        <v>-0.245959982062324</v>
      </c>
      <c r="L13" s="11">
        <f>SQRT(G13)*ABS(I13/1470)*E13</f>
        <v>0.56401597048635743</v>
      </c>
      <c r="M13" s="11">
        <f>ABS(K13/1000)*E13</f>
        <v>0.32614293621464163</v>
      </c>
      <c r="N13" s="15">
        <f t="shared" si="1"/>
        <v>0.245959982062324</v>
      </c>
      <c r="O13" s="11">
        <v>2.0555394826094102</v>
      </c>
      <c r="P13" s="15" cm="1">
        <f t="array" ref="P13">(E13+2*D13-3712-VgC(O13)*1000)/1470</f>
        <v>0.64001134758884759</v>
      </c>
      <c r="Q13" s="12">
        <f>(4/3)*F13*(1/3)*(1/2)*E13^3*G13*(I13/1470)^2</f>
        <v>32.669476467290018</v>
      </c>
      <c r="W13" s="3"/>
      <c r="X13" s="7"/>
      <c r="Y13" s="3"/>
      <c r="Z13" s="3"/>
      <c r="AA13" s="3"/>
      <c r="AB13" s="7"/>
      <c r="AC13" s="10"/>
      <c r="AD13" s="10"/>
      <c r="AE13" s="10"/>
      <c r="AF13" s="10"/>
      <c r="AG13" s="10"/>
      <c r="AH13" s="7"/>
    </row>
    <row r="14" spans="1:37" x14ac:dyDescent="0.3">
      <c r="B14" s="2"/>
      <c r="C14" t="s">
        <v>4</v>
      </c>
      <c r="D14">
        <v>3674</v>
      </c>
      <c r="E14" s="33">
        <f t="shared" si="2"/>
        <v>720</v>
      </c>
      <c r="F14" s="10" cm="1">
        <f t="array" ref="F14">als(E14/1000)</f>
        <v>0.50976975641358935</v>
      </c>
      <c r="G14" s="10">
        <v>3</v>
      </c>
      <c r="H14" s="10"/>
      <c r="I14" s="10">
        <v>-0.69229814422738201</v>
      </c>
      <c r="J14" s="10"/>
      <c r="K14" s="10"/>
      <c r="L14" s="10">
        <f>SQRT(G14)*ABS(I14/1470)*E14</f>
        <v>0.58731211091631286</v>
      </c>
      <c r="M14" s="10"/>
      <c r="N14" s="3">
        <f t="shared" si="1"/>
        <v>0</v>
      </c>
      <c r="O14" s="10">
        <v>3.83841691381935</v>
      </c>
      <c r="P14" s="3" cm="1">
        <f t="array" ref="P14">(E14+2*D14-3712-VgC(O14)*1000)/1470</f>
        <v>0.75460281668867879</v>
      </c>
      <c r="Q14" s="9">
        <f>(4/3)*F14*(1/3)*(1/2)*E14^3*G14*(I14/1470)^2</f>
        <v>28.134031004892574</v>
      </c>
      <c r="W14" s="3"/>
      <c r="X14" s="7"/>
      <c r="Y14" s="3"/>
      <c r="Z14" s="3"/>
      <c r="AA14" s="3"/>
      <c r="AB14" s="7"/>
      <c r="AC14" s="10"/>
      <c r="AD14" s="10"/>
      <c r="AE14" s="10"/>
      <c r="AF14" s="10"/>
      <c r="AG14" s="10"/>
      <c r="AH14" s="7"/>
    </row>
    <row r="15" spans="1:37" x14ac:dyDescent="0.3">
      <c r="C15" t="s">
        <v>5</v>
      </c>
      <c r="D15">
        <v>4149</v>
      </c>
      <c r="E15" s="33">
        <f t="shared" si="2"/>
        <v>245</v>
      </c>
      <c r="F15" s="10" cm="1">
        <f t="array" ref="F15">als(E15/1000)</f>
        <v>1</v>
      </c>
      <c r="G15" s="10">
        <v>3</v>
      </c>
      <c r="H15" s="10"/>
      <c r="I15" s="10">
        <v>0.389022599876376</v>
      </c>
      <c r="J15" s="10"/>
      <c r="K15" s="10"/>
      <c r="L15" s="10">
        <f>SQRT(G15)*ABS(I15/1470)*E15</f>
        <v>0.11230115137973685</v>
      </c>
      <c r="M15" s="10"/>
      <c r="N15" s="3">
        <f t="shared" si="1"/>
        <v>0</v>
      </c>
      <c r="O15" s="10">
        <v>5.2712641073307598</v>
      </c>
      <c r="P15" s="3" cm="1">
        <f t="array" ref="P15">(E15+2*D15-3712-VgC(O15)*1000)/1470</f>
        <v>0.85660414469518686</v>
      </c>
      <c r="Q15" s="9">
        <f>(4/3)*F15*(1/3)*(1/2)*E15^3*G15*(I15/1470)^2</f>
        <v>0.68662875717723793</v>
      </c>
      <c r="AK15" s="16"/>
    </row>
    <row r="16" spans="1:37" x14ac:dyDescent="0.3">
      <c r="C16" t="s">
        <v>6</v>
      </c>
      <c r="D16">
        <v>4562</v>
      </c>
      <c r="E16" s="33"/>
      <c r="F16" s="10"/>
      <c r="G16" s="10"/>
      <c r="H16" s="10"/>
      <c r="I16" s="10"/>
      <c r="J16" s="10"/>
      <c r="K16" s="10"/>
      <c r="L16" s="10"/>
      <c r="M16" s="10"/>
      <c r="N16" s="3"/>
      <c r="O16" s="10"/>
      <c r="P16" s="3"/>
      <c r="Q16" s="9"/>
    </row>
    <row r="17" spans="1:26" x14ac:dyDescent="0.3">
      <c r="C17" t="s">
        <v>8</v>
      </c>
      <c r="D17">
        <v>3762</v>
      </c>
      <c r="E17" s="33">
        <f t="shared" si="2"/>
        <v>632</v>
      </c>
      <c r="F17" s="10" cm="1">
        <f t="array" ref="F17">als(E17/1000)</f>
        <v>0.57029054702657322</v>
      </c>
      <c r="G17" s="10">
        <v>3</v>
      </c>
      <c r="H17" s="10">
        <v>0.42034536148684798</v>
      </c>
      <c r="I17" s="10"/>
      <c r="J17" s="10"/>
      <c r="K17" s="10"/>
      <c r="L17" s="10">
        <f>SQRT(G17)*ABS(H17/1470)*E17</f>
        <v>0.31301606695438916</v>
      </c>
      <c r="M17" s="10"/>
      <c r="N17" s="3">
        <f t="shared" si="1"/>
        <v>0</v>
      </c>
      <c r="O17" s="10">
        <v>4.04512267054809</v>
      </c>
      <c r="P17" s="3" cm="1">
        <f t="array" ref="P17">(E17+2*D17-3712-VgC(O17)*1000)/1470</f>
        <v>0.78206077266136531</v>
      </c>
      <c r="Q17" s="9">
        <f>(4/3)*F17*(1/3)*(1/2)*E17^3*G17*(H17/1470)^2</f>
        <v>7.8475483090921658</v>
      </c>
    </row>
    <row r="18" spans="1:26" x14ac:dyDescent="0.3">
      <c r="C18" t="s">
        <v>9</v>
      </c>
      <c r="D18">
        <v>4209</v>
      </c>
      <c r="E18" s="33">
        <f t="shared" si="2"/>
        <v>185</v>
      </c>
      <c r="F18" s="10" cm="1">
        <f t="array" ref="F18">als(E18/1000)</f>
        <v>1</v>
      </c>
      <c r="G18" s="10">
        <v>3</v>
      </c>
      <c r="H18" s="10">
        <v>-0.23836623565300999</v>
      </c>
      <c r="I18" s="10"/>
      <c r="J18" s="10"/>
      <c r="K18" s="10"/>
      <c r="L18" s="10">
        <f>SQRT(G18)*ABS(H18/1470)*E18</f>
        <v>5.1958877365707895E-2</v>
      </c>
      <c r="M18" s="10"/>
      <c r="N18" s="3">
        <f t="shared" si="1"/>
        <v>0</v>
      </c>
      <c r="O18" s="10">
        <v>5.41104700682118</v>
      </c>
      <c r="P18" s="3" cm="1">
        <f t="array" ref="P18">(E18+2*D18-3712-VgC(O18)*1000)/1470</f>
        <v>0.87617591954693552</v>
      </c>
      <c r="Q18" s="9">
        <f>(4/3)*F18*(1/3)*(1/2)*E18^3*G18*(H18/1470)^2</f>
        <v>0.11098869185874764</v>
      </c>
    </row>
    <row r="19" spans="1:26" x14ac:dyDescent="0.3">
      <c r="C19" t="s">
        <v>10</v>
      </c>
      <c r="D19">
        <v>4608</v>
      </c>
      <c r="E19" s="33"/>
      <c r="F19" s="10"/>
      <c r="G19" s="10"/>
      <c r="H19" s="10"/>
      <c r="I19" s="10"/>
      <c r="J19" s="10"/>
      <c r="K19" s="10"/>
      <c r="L19" s="10"/>
      <c r="M19" s="10"/>
      <c r="N19" s="3"/>
      <c r="O19" s="10"/>
      <c r="P19" s="3"/>
      <c r="Q19" s="9"/>
    </row>
    <row r="20" spans="1:26" x14ac:dyDescent="0.3">
      <c r="C20" t="s">
        <v>11</v>
      </c>
      <c r="D20">
        <v>4974</v>
      </c>
      <c r="E20" s="33"/>
      <c r="F20" s="10"/>
      <c r="G20" s="10"/>
      <c r="H20" s="10"/>
      <c r="I20" s="10"/>
      <c r="J20" s="10"/>
      <c r="K20" s="10"/>
      <c r="L20" s="10"/>
      <c r="M20" s="10"/>
      <c r="N20" s="3"/>
      <c r="O20" s="10"/>
      <c r="P20" s="3"/>
      <c r="Q20" s="9"/>
    </row>
    <row r="21" spans="1:26" x14ac:dyDescent="0.3">
      <c r="A21" s="13" t="s">
        <v>53</v>
      </c>
      <c r="B21" s="13">
        <v>4678</v>
      </c>
      <c r="C21" s="13" t="s">
        <v>3</v>
      </c>
      <c r="D21" s="13">
        <v>3068</v>
      </c>
      <c r="E21" s="13">
        <f t="shared" ref="E21:E29" si="3">$B$21-D21</f>
        <v>1610</v>
      </c>
      <c r="F21" s="11" cm="1">
        <f t="array" ref="F21">als(E21/1000)</f>
        <v>0.31802674514116458</v>
      </c>
      <c r="G21" s="11">
        <v>3</v>
      </c>
      <c r="H21" s="11"/>
      <c r="I21" s="11">
        <v>-2.8812877642666601E-2</v>
      </c>
      <c r="J21" s="11"/>
      <c r="K21" s="11">
        <v>-0.35414233675566298</v>
      </c>
      <c r="L21" s="11">
        <f>SQRT(G21)*ABS(I21/1470)*E21</f>
        <v>5.4658260178827162E-2</v>
      </c>
      <c r="M21" s="11">
        <f>ABS(K21/1000)*E21</f>
        <v>0.57016916217661739</v>
      </c>
      <c r="N21" s="15">
        <f t="shared" si="1"/>
        <v>0.35414233675566298</v>
      </c>
      <c r="O21" s="11">
        <v>2.0555394826094102</v>
      </c>
      <c r="P21" s="15" cm="1">
        <f t="array" ref="P21">(E21+2*D21-3712-VgC(O21)*1000)/1470</f>
        <v>0.83320862650041227</v>
      </c>
      <c r="Q21" s="14">
        <f>(4/3)*F21*(1/3)*(1/2)*E21^3*G21*(I21/1470)^2</f>
        <v>0.33992931091760131</v>
      </c>
    </row>
    <row r="22" spans="1:26" x14ac:dyDescent="0.3">
      <c r="A22" s="13"/>
      <c r="B22" s="17"/>
      <c r="C22" s="13" t="s">
        <v>4</v>
      </c>
      <c r="D22" s="13">
        <v>3674</v>
      </c>
      <c r="E22" s="13">
        <f t="shared" si="3"/>
        <v>1004</v>
      </c>
      <c r="F22" s="11" cm="1">
        <f t="array" ref="F22">als(E22/1000)</f>
        <v>0.40554700804682658</v>
      </c>
      <c r="G22" s="11">
        <v>3</v>
      </c>
      <c r="H22" s="11"/>
      <c r="I22" s="11">
        <v>0.40384504746446298</v>
      </c>
      <c r="J22" s="11"/>
      <c r="K22" s="11">
        <v>1.8910206420795299</v>
      </c>
      <c r="L22" s="11">
        <f>SQRT(G22)*ABS(I22/1470)*E22</f>
        <v>0.47774017765706717</v>
      </c>
      <c r="M22" s="32">
        <f>ABS(K22/1000)*E22</f>
        <v>1.898584724647848</v>
      </c>
      <c r="N22" s="15">
        <f t="shared" si="1"/>
        <v>1.8910206420795299</v>
      </c>
      <c r="O22" s="11">
        <v>3.83841691381935</v>
      </c>
      <c r="P22" s="15" cm="1">
        <f t="array" ref="P22">(E22+2*D22-3712-VgC(O22)*1000)/1470</f>
        <v>0.94780009560024348</v>
      </c>
      <c r="Q22" s="12">
        <f>(4/3)*F22*(1/3)*(1/2)*E22^3*G22*(I22/1470)^2</f>
        <v>20.651230502723422</v>
      </c>
    </row>
    <row r="23" spans="1:26" x14ac:dyDescent="0.3">
      <c r="C23" t="s">
        <v>5</v>
      </c>
      <c r="D23">
        <v>4149</v>
      </c>
      <c r="E23" s="33">
        <f t="shared" si="3"/>
        <v>529</v>
      </c>
      <c r="F23" s="10" cm="1">
        <f t="array" ref="F23">als(E23/1000)</f>
        <v>0.68750060932260215</v>
      </c>
      <c r="G23" s="10">
        <v>3</v>
      </c>
      <c r="H23" s="10"/>
      <c r="I23" s="10">
        <v>-0.237728160228312</v>
      </c>
      <c r="J23" s="10"/>
      <c r="K23" s="10"/>
      <c r="L23" s="10">
        <f>SQRT(G23)*ABS(I23/1470)*E23</f>
        <v>0.14817658929109501</v>
      </c>
      <c r="M23" s="10"/>
      <c r="N23" s="3">
        <f t="shared" si="1"/>
        <v>0</v>
      </c>
      <c r="O23" s="10">
        <v>5.2712641073307598</v>
      </c>
      <c r="P23" s="3" cm="1">
        <f t="array" ref="P23">(E23+2*D23-3712-VgC(O23)*1000)/1470</f>
        <v>1.0498014236067514</v>
      </c>
      <c r="Q23" s="9">
        <f>(4/3)*F23*(1/3)*(1/2)*E23^3*G23*(I23/1470)^2</f>
        <v>1.7744976712070104</v>
      </c>
    </row>
    <row r="24" spans="1:26" x14ac:dyDescent="0.3">
      <c r="C24" t="s">
        <v>6</v>
      </c>
      <c r="D24">
        <v>4562</v>
      </c>
      <c r="E24" s="33">
        <f t="shared" si="3"/>
        <v>116</v>
      </c>
      <c r="F24" s="10" cm="1">
        <f t="array" ref="F24">als(E24/1000)</f>
        <v>1</v>
      </c>
      <c r="G24" s="10">
        <v>3</v>
      </c>
      <c r="H24" s="10"/>
      <c r="I24" s="10">
        <v>3.19800810904938E-2</v>
      </c>
      <c r="J24" s="10"/>
      <c r="K24" s="10"/>
      <c r="L24" s="10">
        <f>SQRT(G24)*ABS(I24/1470)*E24</f>
        <v>4.3710003621451185E-3</v>
      </c>
      <c r="M24" s="10"/>
      <c r="N24" s="3">
        <f t="shared" si="1"/>
        <v>0</v>
      </c>
      <c r="O24" s="10">
        <v>6.5276697104515504</v>
      </c>
      <c r="P24" s="3" cm="1">
        <f t="array" ref="P24">(E24+2*D24-3712-VgC(O24)*1000)/1470</f>
        <v>1.1410323662381165</v>
      </c>
      <c r="Q24" s="9">
        <f>(4/3)*F24*(1/3)*(1/2)*E24^3*G24*(I24/1470)^2</f>
        <v>4.9250104960916433E-4</v>
      </c>
    </row>
    <row r="25" spans="1:26" x14ac:dyDescent="0.3">
      <c r="C25" t="s">
        <v>8</v>
      </c>
      <c r="D25">
        <v>3762</v>
      </c>
      <c r="E25">
        <f t="shared" si="3"/>
        <v>916</v>
      </c>
      <c r="F25" s="10" cm="1">
        <f t="array" ref="F25">als(E25/1000)</f>
        <v>0.42924953230664875</v>
      </c>
      <c r="G25" s="10">
        <v>0.6</v>
      </c>
      <c r="H25" s="10">
        <v>0.87817615868430399</v>
      </c>
      <c r="I25" s="10"/>
      <c r="J25" s="10">
        <v>3.5373155897050799</v>
      </c>
      <c r="K25" s="10"/>
      <c r="L25" s="10">
        <f t="shared" ref="L25:L29" si="4">SQRT(G25)*ABS(H25/1470)*E25</f>
        <v>0.42387266123273076</v>
      </c>
      <c r="M25" s="31">
        <f>ABS(J25/1000)*E25</f>
        <v>3.2401810801698532</v>
      </c>
      <c r="N25" s="47">
        <f t="shared" si="1"/>
        <v>3.5373155897050799</v>
      </c>
      <c r="O25" s="10">
        <v>4.04512267054809</v>
      </c>
      <c r="P25" s="3" cm="1">
        <f t="array" ref="P25">(E25+2*D25-3712-VgC(O25)*1000)/1470</f>
        <v>0.97525805157293</v>
      </c>
      <c r="Q25" s="9">
        <f t="shared" ref="Q25:Q29" si="5">(4/3)*F25*(1/3)*(1/2)*E25^3*G25*(H25/1470)^2</f>
        <v>15.698696867759582</v>
      </c>
    </row>
    <row r="26" spans="1:26" x14ac:dyDescent="0.3">
      <c r="C26" t="s">
        <v>8</v>
      </c>
      <c r="D26">
        <v>3762</v>
      </c>
      <c r="E26">
        <f t="shared" si="3"/>
        <v>916</v>
      </c>
      <c r="F26" s="10" cm="1">
        <f t="array" ref="F26">als(E26/1000)</f>
        <v>0.42924953230664875</v>
      </c>
      <c r="G26" s="10">
        <v>1</v>
      </c>
      <c r="H26" s="10">
        <v>0.87817615868430399</v>
      </c>
      <c r="I26" s="10"/>
      <c r="J26" s="10">
        <v>3.5373155897050799</v>
      </c>
      <c r="K26" s="10"/>
      <c r="L26" s="10">
        <f t="shared" si="4"/>
        <v>0.54721725262232812</v>
      </c>
      <c r="M26" s="31">
        <f t="shared" ref="M26:M27" si="6">ABS(J26/1000)*E26</f>
        <v>3.2401810801698532</v>
      </c>
      <c r="N26" s="47">
        <f t="shared" si="1"/>
        <v>3.5373155897050799</v>
      </c>
      <c r="O26" s="10">
        <v>4.04512267054809</v>
      </c>
      <c r="P26" s="3" cm="1">
        <f t="array" ref="P26">(E26+2*D26-3712-VgC(O26)*1000)/1470</f>
        <v>0.97525805157293</v>
      </c>
      <c r="Q26" s="9">
        <f t="shared" si="5"/>
        <v>26.164494779599302</v>
      </c>
    </row>
    <row r="27" spans="1:26" x14ac:dyDescent="0.3">
      <c r="C27" t="s">
        <v>8</v>
      </c>
      <c r="D27">
        <v>3762</v>
      </c>
      <c r="E27">
        <f t="shared" si="3"/>
        <v>916</v>
      </c>
      <c r="F27" s="10" cm="1">
        <f t="array" ref="F27">als(E27/1000)</f>
        <v>0.42924953230664875</v>
      </c>
      <c r="G27" s="10">
        <v>1.4</v>
      </c>
      <c r="H27" s="10">
        <v>0.87817615868430399</v>
      </c>
      <c r="I27" s="10"/>
      <c r="J27" s="10">
        <v>3.5373155897050799</v>
      </c>
      <c r="K27" s="10"/>
      <c r="L27" s="10">
        <f t="shared" si="4"/>
        <v>0.64747618504045412</v>
      </c>
      <c r="M27" s="31">
        <f t="shared" si="6"/>
        <v>3.2401810801698532</v>
      </c>
      <c r="N27" s="47">
        <f t="shared" si="1"/>
        <v>3.5373155897050799</v>
      </c>
      <c r="O27" s="10">
        <v>4.04512267054809</v>
      </c>
      <c r="P27" s="3" cm="1">
        <f t="array" ref="P27">(E27+2*D27-3712-VgC(O27)*1000)/1470</f>
        <v>0.97525805157293</v>
      </c>
      <c r="Q27" s="9">
        <f t="shared" si="5"/>
        <v>36.630292691439024</v>
      </c>
    </row>
    <row r="28" spans="1:26" x14ac:dyDescent="0.3">
      <c r="C28" t="s">
        <v>9</v>
      </c>
      <c r="D28">
        <v>4209</v>
      </c>
      <c r="E28" s="33">
        <f t="shared" si="3"/>
        <v>469</v>
      </c>
      <c r="F28" s="10" cm="1">
        <f t="array" ref="F28">als(E28/1000)</f>
        <v>0.80604709211972003</v>
      </c>
      <c r="G28" s="10">
        <v>3</v>
      </c>
      <c r="H28" s="10">
        <v>3.02666993605606E-2</v>
      </c>
      <c r="I28" s="10"/>
      <c r="J28" s="10"/>
      <c r="K28" s="10"/>
      <c r="L28" s="10">
        <f t="shared" si="4"/>
        <v>1.6725580436588231E-2</v>
      </c>
      <c r="M28" s="10"/>
      <c r="N28" s="3">
        <f t="shared" si="1"/>
        <v>0</v>
      </c>
      <c r="O28" s="10">
        <v>5.41104700682118</v>
      </c>
      <c r="P28" s="3" cm="1">
        <f t="array" ref="P28">(E28+2*D28-3712-VgC(O28)*1000)/1470</f>
        <v>1.0693731984585002</v>
      </c>
      <c r="Q28" s="9">
        <f t="shared" si="5"/>
        <v>2.3500826758282869E-2</v>
      </c>
    </row>
    <row r="29" spans="1:26" x14ac:dyDescent="0.3">
      <c r="C29" t="s">
        <v>10</v>
      </c>
      <c r="D29">
        <v>4608</v>
      </c>
      <c r="E29" s="33">
        <f t="shared" si="3"/>
        <v>70</v>
      </c>
      <c r="F29" s="10" cm="1">
        <f t="array" ref="F29">als(E29/1000)</f>
        <v>1E-4</v>
      </c>
      <c r="G29" s="10">
        <v>3</v>
      </c>
      <c r="H29" s="10">
        <v>-6.1935361508103498E-2</v>
      </c>
      <c r="I29" s="10"/>
      <c r="J29" s="10"/>
      <c r="K29" s="10"/>
      <c r="L29" s="10">
        <f t="shared" si="4"/>
        <v>5.1083425198657625E-3</v>
      </c>
      <c r="M29" s="10"/>
      <c r="N29" s="3">
        <f t="shared" si="1"/>
        <v>0</v>
      </c>
      <c r="O29" s="10">
        <v>6.6325211715344397</v>
      </c>
      <c r="P29" s="3" cm="1">
        <f t="array" ref="P29">(E29+2*D29-3712-VgC(O29)*1000)/1470</f>
        <v>1.1565940700998196</v>
      </c>
      <c r="Q29" s="9">
        <f t="shared" si="5"/>
        <v>4.0592476244862094E-8</v>
      </c>
    </row>
    <row r="30" spans="1:26" x14ac:dyDescent="0.3">
      <c r="C30" t="s">
        <v>11</v>
      </c>
      <c r="D30">
        <v>4974</v>
      </c>
      <c r="E30" s="33"/>
      <c r="F30" s="10"/>
      <c r="G30" s="10"/>
      <c r="H30" s="10"/>
      <c r="I30" s="10"/>
      <c r="J30" s="10"/>
      <c r="K30" s="10"/>
      <c r="L30" s="10"/>
      <c r="M30" s="10"/>
      <c r="N30" s="3"/>
      <c r="O30" s="10"/>
      <c r="P30" s="3"/>
      <c r="Q30" s="9"/>
      <c r="Z30" s="16"/>
    </row>
    <row r="31" spans="1:26" x14ac:dyDescent="0.3">
      <c r="F31" s="3"/>
      <c r="G31" s="7"/>
      <c r="H31" s="7"/>
      <c r="I31" s="3"/>
      <c r="J31" s="3"/>
      <c r="K31" s="3"/>
      <c r="L31" s="3"/>
      <c r="M31" s="3"/>
      <c r="N31" s="3"/>
      <c r="O31" s="3"/>
      <c r="P31" s="3"/>
      <c r="Q31" s="24"/>
    </row>
    <row r="32" spans="1:26" x14ac:dyDescent="0.3">
      <c r="F32" s="3"/>
      <c r="G32" s="7"/>
      <c r="H32" s="7"/>
      <c r="I32" s="3"/>
      <c r="J32" s="3"/>
      <c r="K32" s="3"/>
      <c r="L32" s="3"/>
      <c r="M32" s="3"/>
      <c r="N32" s="3"/>
      <c r="O32" s="3"/>
      <c r="P32" s="3"/>
      <c r="Q32" s="24"/>
    </row>
    <row r="33" spans="1:37" x14ac:dyDescent="0.3">
      <c r="A33" s="2"/>
      <c r="B33" s="2"/>
      <c r="F33" s="3"/>
      <c r="G33" s="7"/>
      <c r="H33" s="7"/>
      <c r="I33" s="3"/>
      <c r="J33" s="3"/>
      <c r="K33" s="3"/>
      <c r="L33" s="3"/>
      <c r="M33" s="3"/>
      <c r="N33" s="3"/>
      <c r="O33" s="3"/>
      <c r="P33" s="3"/>
      <c r="Q33" s="24"/>
    </row>
    <row r="34" spans="1:37" x14ac:dyDescent="0.3">
      <c r="A34" s="2"/>
      <c r="F34" s="3"/>
      <c r="G34" s="7"/>
      <c r="H34" s="7"/>
      <c r="I34" s="3"/>
      <c r="J34" s="3"/>
      <c r="K34" s="3"/>
      <c r="L34" s="3"/>
      <c r="M34" s="3"/>
      <c r="N34" s="3"/>
      <c r="O34" s="3"/>
      <c r="P34" s="3"/>
      <c r="Q34" s="24"/>
    </row>
    <row r="37" spans="1:37" x14ac:dyDescent="0.3">
      <c r="A37" t="s">
        <v>44</v>
      </c>
      <c r="E37" t="s">
        <v>45</v>
      </c>
      <c r="H37" s="40" t="s">
        <v>104</v>
      </c>
      <c r="I37" s="5" t="s">
        <v>102</v>
      </c>
      <c r="J37" s="6" t="s">
        <v>101</v>
      </c>
      <c r="K37" s="5" t="s">
        <v>105</v>
      </c>
      <c r="L37" s="6" t="s">
        <v>101</v>
      </c>
      <c r="M37" s="5" t="s">
        <v>106</v>
      </c>
      <c r="N37" s="6"/>
      <c r="Y37" s="21"/>
    </row>
    <row r="38" spans="1:37" x14ac:dyDescent="0.3">
      <c r="A38" s="1" t="s">
        <v>0</v>
      </c>
      <c r="B38" s="1"/>
      <c r="C38" s="1" t="s">
        <v>15</v>
      </c>
      <c r="D38" s="1"/>
      <c r="E38" s="1" t="s">
        <v>1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37" x14ac:dyDescent="0.3">
      <c r="A39" s="1" t="s">
        <v>31</v>
      </c>
      <c r="B39" s="1" t="s">
        <v>42</v>
      </c>
      <c r="C39" s="1" t="s">
        <v>32</v>
      </c>
      <c r="D39" s="1" t="s">
        <v>33</v>
      </c>
      <c r="E39" s="1" t="s">
        <v>35</v>
      </c>
      <c r="F39" s="1" t="s">
        <v>36</v>
      </c>
      <c r="G39" s="1" t="s">
        <v>49</v>
      </c>
      <c r="H39" s="1" t="s">
        <v>21</v>
      </c>
      <c r="I39" s="1" t="s">
        <v>22</v>
      </c>
      <c r="J39" s="1" t="s">
        <v>62</v>
      </c>
      <c r="K39" s="1" t="s">
        <v>63</v>
      </c>
      <c r="L39" s="1" t="s">
        <v>100</v>
      </c>
      <c r="M39" s="1" t="s">
        <v>76</v>
      </c>
      <c r="N39" s="27" t="s">
        <v>73</v>
      </c>
      <c r="O39" s="27" t="s">
        <v>74</v>
      </c>
      <c r="P39" s="27" t="s">
        <v>78</v>
      </c>
      <c r="Q39" s="1" t="s">
        <v>38</v>
      </c>
    </row>
    <row r="40" spans="1:37" x14ac:dyDescent="0.3">
      <c r="A40" s="1"/>
      <c r="B40" s="1" t="s">
        <v>34</v>
      </c>
      <c r="C40" s="1"/>
      <c r="D40" s="1" t="s">
        <v>34</v>
      </c>
      <c r="E40" s="1" t="s">
        <v>34</v>
      </c>
      <c r="F40" s="1"/>
      <c r="G40" s="1"/>
      <c r="H40" s="1" t="s">
        <v>37</v>
      </c>
      <c r="I40" s="1" t="s">
        <v>37</v>
      </c>
      <c r="J40" s="1"/>
      <c r="K40" s="1"/>
      <c r="L40" s="1"/>
      <c r="M40" s="1"/>
      <c r="N40" s="27" t="s">
        <v>95</v>
      </c>
      <c r="O40" s="27" t="s">
        <v>95</v>
      </c>
      <c r="P40" s="27"/>
      <c r="Q40" s="1" t="s">
        <v>34</v>
      </c>
    </row>
    <row r="41" spans="1:37" x14ac:dyDescent="0.3">
      <c r="A41" s="13" t="s">
        <v>19</v>
      </c>
      <c r="B41" s="13">
        <v>10704</v>
      </c>
      <c r="C41" s="13" t="s">
        <v>3</v>
      </c>
      <c r="D41" s="13">
        <v>9551</v>
      </c>
      <c r="E41" s="13">
        <f t="shared" ref="E41:E47" si="7">$B$41-D41</f>
        <v>1153</v>
      </c>
      <c r="F41" s="11" cm="1">
        <f t="array" ref="F41">als(E41/1000)</f>
        <v>0.37480290298963193</v>
      </c>
      <c r="G41" s="11">
        <v>3</v>
      </c>
      <c r="H41" s="11"/>
      <c r="I41" s="11">
        <v>-0.77441107009168597</v>
      </c>
      <c r="J41" s="11"/>
      <c r="K41" s="11">
        <v>-1.2383353208880601</v>
      </c>
      <c r="L41" s="11">
        <f>SQRT(G41)*ABS(I41/4880)*E41</f>
        <v>0.3169141752463111</v>
      </c>
      <c r="M41" s="32">
        <f>ABS(K41/1000)*E41</f>
        <v>1.4278006249839335</v>
      </c>
      <c r="N41" s="15">
        <f>M41/(E41/1000)</f>
        <v>1.2383353208880603</v>
      </c>
      <c r="O41" s="11">
        <v>1.20873770697426</v>
      </c>
      <c r="P41" s="15" cm="1">
        <f t="array" ref="P41">(E41+2*D41-10537-VgB(O41)*1000)/4880</f>
        <v>7.124500731039253E-2</v>
      </c>
      <c r="Q41" s="11">
        <f>(4/3)*F41*(1/3)*(1/2)*E41^3*G41*(I41/4880)^2</f>
        <v>9.645018608160747</v>
      </c>
      <c r="W41" s="10"/>
      <c r="X41" s="10"/>
      <c r="Y41" s="10"/>
      <c r="Z41" s="10"/>
      <c r="AA41" s="10"/>
      <c r="AB41" s="10"/>
      <c r="AC41" s="10"/>
      <c r="AD41" s="10"/>
      <c r="AE41" s="7"/>
      <c r="AF41" s="10"/>
      <c r="AG41" s="10"/>
      <c r="AH41" s="10"/>
      <c r="AI41" s="10"/>
      <c r="AJ41" s="10"/>
      <c r="AK41" s="7"/>
    </row>
    <row r="42" spans="1:37" x14ac:dyDescent="0.3">
      <c r="B42" s="2"/>
      <c r="C42" t="s">
        <v>4</v>
      </c>
      <c r="D42">
        <v>10017</v>
      </c>
      <c r="E42" s="33">
        <f t="shared" si="7"/>
        <v>687</v>
      </c>
      <c r="F42" s="10" cm="1">
        <f t="array" ref="F42">als(E42/1000)</f>
        <v>0.52976416735003551</v>
      </c>
      <c r="G42" s="10">
        <v>3</v>
      </c>
      <c r="H42" s="10"/>
      <c r="I42" s="10">
        <v>0.57837021069460004</v>
      </c>
      <c r="J42" s="10"/>
      <c r="K42" s="10"/>
      <c r="L42" s="10">
        <f>SQRT(G42)*ABS(I42/4880)*E42</f>
        <v>0.14102738681937682</v>
      </c>
      <c r="M42" s="10"/>
      <c r="N42" s="3">
        <f t="shared" ref="N42:N64" si="8">M42/(E42/1000)</f>
        <v>0</v>
      </c>
      <c r="O42" s="10">
        <v>2.4490469895425302</v>
      </c>
      <c r="P42" s="3" cm="1">
        <f t="array" ref="P42">(E42+2*D42-10537-VgB(O42)*1000)/4880</f>
        <v>9.1486106617018975E-2</v>
      </c>
      <c r="Q42" s="25">
        <f>(4/3)*F42*(1/3)*(1/2)*E42^3*G42*(I42/4880)^2</f>
        <v>1.6085468717543194</v>
      </c>
      <c r="W42" s="10"/>
      <c r="X42" s="10"/>
      <c r="Y42" s="10"/>
      <c r="Z42" s="10"/>
      <c r="AA42" s="10"/>
      <c r="AB42" s="10"/>
      <c r="AC42" s="10"/>
      <c r="AD42" s="10"/>
      <c r="AE42" s="7"/>
      <c r="AF42" s="10"/>
      <c r="AG42" s="10"/>
      <c r="AH42" s="10"/>
      <c r="AI42" s="10"/>
      <c r="AJ42" s="10"/>
      <c r="AK42" s="7"/>
    </row>
    <row r="43" spans="1:37" x14ac:dyDescent="0.3">
      <c r="C43" t="s">
        <v>5</v>
      </c>
      <c r="D43">
        <v>10355</v>
      </c>
      <c r="E43" s="33">
        <f t="shared" si="7"/>
        <v>349</v>
      </c>
      <c r="F43" s="10" cm="1">
        <f t="array" ref="F43">als(E43/1000)</f>
        <v>1</v>
      </c>
      <c r="G43" s="10">
        <v>3</v>
      </c>
      <c r="H43" s="10"/>
      <c r="I43" s="10">
        <v>-6.8219031850554598E-2</v>
      </c>
      <c r="J43" s="10"/>
      <c r="K43" s="10"/>
      <c r="L43" s="10">
        <f>SQRT(G43)*ABS(I43/4880)*E43</f>
        <v>8.4502933183819053E-3</v>
      </c>
      <c r="M43" s="10"/>
      <c r="N43" s="3">
        <f t="shared" si="8"/>
        <v>0</v>
      </c>
      <c r="O43" s="10">
        <v>3.4295530668187899</v>
      </c>
      <c r="P43" s="3" cm="1">
        <f t="array" ref="P43">(E43+2*D43-10537-VgB(O43)*1000)/4880</f>
        <v>0.11180861774377464</v>
      </c>
      <c r="Q43" s="25">
        <f>(4/3)*F43*(1/3)*(1/2)*E43^3*G43*(I43/4880)^2</f>
        <v>5.5380450113721707E-3</v>
      </c>
      <c r="S43" s="2"/>
      <c r="W43" s="10"/>
      <c r="X43" s="10"/>
      <c r="Y43" s="10"/>
      <c r="Z43" s="10"/>
      <c r="AA43" s="10"/>
      <c r="AB43" s="10"/>
      <c r="AC43" s="10"/>
      <c r="AD43" s="10"/>
      <c r="AE43" s="4"/>
      <c r="AF43" s="10"/>
      <c r="AG43" s="10"/>
      <c r="AH43" s="10"/>
      <c r="AI43" s="10"/>
      <c r="AJ43" s="10"/>
      <c r="AK43" s="4"/>
    </row>
    <row r="44" spans="1:37" x14ac:dyDescent="0.3">
      <c r="C44" t="s">
        <v>6</v>
      </c>
      <c r="D44">
        <v>10643</v>
      </c>
      <c r="E44" s="33">
        <f t="shared" si="7"/>
        <v>61</v>
      </c>
      <c r="F44" s="10" cm="1">
        <f t="array" ref="F44">als(E44/1000)</f>
        <v>1E-4</v>
      </c>
      <c r="G44" s="10">
        <v>3</v>
      </c>
      <c r="H44" s="10"/>
      <c r="I44" s="10">
        <v>1.76132773633942E-2</v>
      </c>
      <c r="J44" s="10"/>
      <c r="K44" s="10"/>
      <c r="L44" s="10">
        <f>SQRT(G44)*ABS(I44/4880)*E44</f>
        <v>3.8133864101501933E-4</v>
      </c>
      <c r="M44" s="10"/>
      <c r="N44" s="3">
        <f t="shared" si="8"/>
        <v>0</v>
      </c>
      <c r="O44" s="10">
        <v>4.2872389731671996</v>
      </c>
      <c r="P44" s="3" cm="1">
        <f t="array" ref="P44">(E44+2*D44-10537-VgB(O44)*1000)/4880</f>
        <v>0.13016879206382767</v>
      </c>
      <c r="Q44" s="25">
        <f>(4/3)*F44*(1/3)*(1/2)*E44^3*G44*(I44/4880)^2</f>
        <v>1.9712374904449094E-10</v>
      </c>
      <c r="W44" s="10"/>
      <c r="X44" s="10"/>
      <c r="Y44" s="10"/>
      <c r="Z44" s="10"/>
      <c r="AA44" s="10"/>
      <c r="AB44" s="10"/>
      <c r="AC44" s="10"/>
      <c r="AD44" s="10"/>
      <c r="AE44" s="7"/>
      <c r="AF44" s="10"/>
      <c r="AG44" s="10"/>
      <c r="AH44" s="10"/>
      <c r="AI44" s="10"/>
      <c r="AJ44" s="10"/>
      <c r="AK44" s="4"/>
    </row>
    <row r="45" spans="1:37" x14ac:dyDescent="0.3">
      <c r="C45" t="s">
        <v>8</v>
      </c>
      <c r="D45">
        <v>10106</v>
      </c>
      <c r="E45" s="33">
        <f t="shared" si="7"/>
        <v>598</v>
      </c>
      <c r="F45" s="10" cm="1">
        <f t="array" ref="F45">als(E45/1000)</f>
        <v>0.60146179818153211</v>
      </c>
      <c r="G45" s="10">
        <v>3</v>
      </c>
      <c r="H45" s="10">
        <v>-0.23309059101441201</v>
      </c>
      <c r="I45" s="10"/>
      <c r="J45" s="10"/>
      <c r="K45" s="10"/>
      <c r="L45" s="10">
        <f>SQRT(G45)*ABS(H45/4880)*E45</f>
        <v>4.9472827530558421E-2</v>
      </c>
      <c r="M45" s="10"/>
      <c r="N45" s="3">
        <f t="shared" si="8"/>
        <v>0</v>
      </c>
      <c r="O45" s="10">
        <v>2.6197365527972898</v>
      </c>
      <c r="P45" s="3" cm="1">
        <f t="array" ref="P45">(E45+2*D45-10537-VgB(O45)*1000)/4880</f>
        <v>0.10089526770775778</v>
      </c>
      <c r="Q45" s="25">
        <f>(4/3)*F45*(1/3)*(1/2)*E45^3*G45*(H45/4880)^2</f>
        <v>0.19562762541179965</v>
      </c>
      <c r="S45" s="2"/>
      <c r="W45" s="10"/>
      <c r="X45" s="10"/>
      <c r="Y45" s="10"/>
      <c r="Z45" s="10"/>
      <c r="AA45" s="10"/>
      <c r="AB45" s="10"/>
      <c r="AC45" s="10"/>
      <c r="AD45" s="10"/>
      <c r="AE45" s="7"/>
      <c r="AF45" s="10"/>
      <c r="AG45" s="10"/>
      <c r="AH45" s="10"/>
      <c r="AI45" s="10"/>
      <c r="AJ45" s="10"/>
      <c r="AK45" s="4"/>
    </row>
    <row r="46" spans="1:37" x14ac:dyDescent="0.3">
      <c r="C46" t="s">
        <v>9</v>
      </c>
      <c r="D46">
        <v>10416</v>
      </c>
      <c r="E46" s="33">
        <f t="shared" si="7"/>
        <v>288</v>
      </c>
      <c r="F46" s="10" cm="1">
        <f t="array" ref="F46">als(E46/1000)</f>
        <v>1</v>
      </c>
      <c r="G46" s="10">
        <v>3</v>
      </c>
      <c r="H46" s="10">
        <v>6.60280079811916E-2</v>
      </c>
      <c r="I46" s="10"/>
      <c r="J46" s="10"/>
      <c r="K46" s="10"/>
      <c r="L46" s="10">
        <f>SQRT(G46)*ABS(H46/4880)*E46</f>
        <v>6.7493428256648162E-3</v>
      </c>
      <c r="M46" s="10"/>
      <c r="N46" s="3">
        <f t="shared" si="8"/>
        <v>0</v>
      </c>
      <c r="O46" s="10">
        <v>3.5477705192787301</v>
      </c>
      <c r="P46" s="3" cm="1">
        <f t="array" ref="P46">(E46+2*D46-10537-VgB(O46)*1000)/4880</f>
        <v>0.11862242965459632</v>
      </c>
      <c r="Q46" s="25">
        <f>(4/3)*F46*(1/3)*(1/2)*E46^3*G46*(H46/4880)^2</f>
        <v>2.915432229014601E-3</v>
      </c>
      <c r="S46" s="16"/>
      <c r="W46" s="10"/>
      <c r="X46" s="10"/>
      <c r="Y46" s="10"/>
      <c r="Z46" s="10"/>
      <c r="AA46" s="10"/>
      <c r="AB46" s="10"/>
      <c r="AC46" s="10"/>
      <c r="AD46" s="10"/>
      <c r="AE46" s="7"/>
      <c r="AF46" s="10"/>
      <c r="AG46" s="10"/>
      <c r="AH46" s="10"/>
      <c r="AI46" s="10"/>
      <c r="AJ46" s="10"/>
      <c r="AK46" s="7"/>
    </row>
    <row r="47" spans="1:37" x14ac:dyDescent="0.3">
      <c r="C47" t="s">
        <v>10</v>
      </c>
      <c r="D47">
        <v>10689</v>
      </c>
      <c r="E47" s="33">
        <f t="shared" si="7"/>
        <v>15</v>
      </c>
      <c r="F47" s="10" cm="1">
        <f t="array" ref="F47">als(E47/1000)</f>
        <v>1E-4</v>
      </c>
      <c r="G47" s="10">
        <v>3</v>
      </c>
      <c r="H47" s="10">
        <v>4.9320425871861098E-3</v>
      </c>
      <c r="I47" s="10"/>
      <c r="J47" s="10"/>
      <c r="K47" s="10"/>
      <c r="L47" s="10">
        <f>SQRT(G47)*ABS(H47/4880)*E47</f>
        <v>2.6257833031044454E-5</v>
      </c>
      <c r="M47" s="10"/>
      <c r="N47" s="3">
        <f t="shared" si="8"/>
        <v>0</v>
      </c>
      <c r="O47" s="10">
        <v>4.3779667163029297</v>
      </c>
      <c r="P47" s="3" cm="1">
        <f t="array" ref="P47">(E47+2*D47-10537-VgB(O47)*1000)/4880</f>
        <v>0.13536006661272049</v>
      </c>
      <c r="Q47" s="25">
        <f>(4/3)*F47*(1/3)*(1/2)*E47^3*G47*(H47/4880)^2</f>
        <v>2.2982459849540305E-13</v>
      </c>
    </row>
    <row r="48" spans="1:37" x14ac:dyDescent="0.3">
      <c r="C48" t="s">
        <v>11</v>
      </c>
      <c r="D48">
        <v>10939</v>
      </c>
      <c r="E48" s="33"/>
      <c r="F48" s="10"/>
      <c r="G48" s="10"/>
      <c r="H48" s="10"/>
      <c r="I48" s="10"/>
      <c r="J48" s="10"/>
      <c r="K48" s="10"/>
      <c r="L48" s="10"/>
      <c r="M48" s="10"/>
      <c r="N48" s="3"/>
      <c r="O48" s="10"/>
      <c r="P48" s="3"/>
      <c r="Q48" s="25"/>
    </row>
    <row r="49" spans="1:23" x14ac:dyDescent="0.3">
      <c r="A49" s="13" t="s">
        <v>30</v>
      </c>
      <c r="B49" s="13">
        <v>10905</v>
      </c>
      <c r="C49" s="13" t="s">
        <v>3</v>
      </c>
      <c r="D49" s="13">
        <v>9551</v>
      </c>
      <c r="E49" s="13">
        <f t="shared" ref="E49:E55" si="9">$B$49-D49</f>
        <v>1354</v>
      </c>
      <c r="F49" s="11" cm="1">
        <f t="array" ref="F49">als(E49/1000)</f>
        <v>0.34493321671947547</v>
      </c>
      <c r="G49" s="11">
        <v>3</v>
      </c>
      <c r="H49" s="11"/>
      <c r="I49" s="11">
        <v>-0.489310314063434</v>
      </c>
      <c r="J49" s="11"/>
      <c r="K49" s="11">
        <v>-0.48105742628392401</v>
      </c>
      <c r="L49" s="11">
        <f>SQRT(G49)*ABS(I49/4880)*E49</f>
        <v>0.2351493810538374</v>
      </c>
      <c r="M49" s="11">
        <f>ABS(K49/1000)*E49</f>
        <v>0.65135175518843313</v>
      </c>
      <c r="N49" s="15">
        <f t="shared" si="8"/>
        <v>0.48105742628392401</v>
      </c>
      <c r="O49" s="11">
        <v>1.20873770697426</v>
      </c>
      <c r="P49" s="15" cm="1">
        <f t="array" ref="P49">(E49+2*D49-10537-VgB(O49)*1000)/4880</f>
        <v>0.11243353190055647</v>
      </c>
      <c r="Q49" s="11">
        <f>(4/3)*F49*(1/3)*(1/2)*E49^3*G49*(I49/4880)^2</f>
        <v>5.7389025336629027</v>
      </c>
    </row>
    <row r="50" spans="1:23" x14ac:dyDescent="0.3">
      <c r="A50" s="13"/>
      <c r="B50" s="17"/>
      <c r="C50" s="13" t="s">
        <v>4</v>
      </c>
      <c r="D50" s="13">
        <v>10017</v>
      </c>
      <c r="E50" s="13">
        <f t="shared" si="9"/>
        <v>888</v>
      </c>
      <c r="F50" s="11" cm="1">
        <f t="array" ref="F50">als(E50/1000)</f>
        <v>0.43799488823701305</v>
      </c>
      <c r="G50" s="11">
        <v>3</v>
      </c>
      <c r="H50" s="11"/>
      <c r="I50" s="11">
        <v>-0.40752857680195298</v>
      </c>
      <c r="J50" s="11"/>
      <c r="K50" s="11">
        <v>-1.2320639186698801</v>
      </c>
      <c r="L50" s="11">
        <f>SQRT(G50)*ABS(I50/4880)*E50</f>
        <v>0.12844341354401834</v>
      </c>
      <c r="M50" s="32">
        <f>ABS(K50/1000)*E50</f>
        <v>1.0940727597788535</v>
      </c>
      <c r="N50" s="15">
        <f t="shared" si="8"/>
        <v>1.2320639186698801</v>
      </c>
      <c r="O50" s="11">
        <v>2.4490469895425302</v>
      </c>
      <c r="P50" s="15" cm="1">
        <f t="array" ref="P50">(E50+2*D50-10537-VgB(O50)*1000)/4880</f>
        <v>0.1326746312071829</v>
      </c>
      <c r="Q50" s="11">
        <f>(4/3)*F50*(1/3)*(1/2)*E50^3*G50*(I50/4880)^2</f>
        <v>1.4259134708620009</v>
      </c>
      <c r="W50" s="16"/>
    </row>
    <row r="51" spans="1:23" x14ac:dyDescent="0.3">
      <c r="C51" t="s">
        <v>5</v>
      </c>
      <c r="D51">
        <v>10355</v>
      </c>
      <c r="E51" s="33">
        <f t="shared" si="9"/>
        <v>550</v>
      </c>
      <c r="F51" s="10" cm="1">
        <f t="array" ref="F51">als(E51/1000)</f>
        <v>0.65717620235533458</v>
      </c>
      <c r="G51" s="10">
        <v>3</v>
      </c>
      <c r="H51" s="10"/>
      <c r="I51" s="10">
        <v>0.59258925314556299</v>
      </c>
      <c r="J51" s="10"/>
      <c r="K51" s="10"/>
      <c r="L51" s="10">
        <f>SQRT(G51)*ABS(I51/4880)*E51</f>
        <v>0.11567972990923681</v>
      </c>
      <c r="M51" s="10"/>
      <c r="N51" s="3">
        <f t="shared" si="8"/>
        <v>0</v>
      </c>
      <c r="O51" s="10">
        <v>3.4295530668187899</v>
      </c>
      <c r="P51" s="3" cm="1">
        <f t="array" ref="P51">(E51+2*D51-10537-VgB(O51)*1000)/4880</f>
        <v>0.15299714233393857</v>
      </c>
      <c r="Q51" s="25">
        <f>(4/3)*F51*(1/3)*(1/2)*E51^3*G51*(I51/4880)^2</f>
        <v>1.074846721271191</v>
      </c>
    </row>
    <row r="52" spans="1:23" x14ac:dyDescent="0.3">
      <c r="C52" t="s">
        <v>6</v>
      </c>
      <c r="D52">
        <v>10643</v>
      </c>
      <c r="E52" s="33">
        <f t="shared" si="9"/>
        <v>262</v>
      </c>
      <c r="F52" s="10" cm="1">
        <f t="array" ref="F52">als(E52/1000)</f>
        <v>1</v>
      </c>
      <c r="G52" s="10">
        <v>3</v>
      </c>
      <c r="H52" s="10"/>
      <c r="I52" s="10">
        <v>-8.3505303147530102E-2</v>
      </c>
      <c r="J52" s="10"/>
      <c r="K52" s="10"/>
      <c r="L52" s="10">
        <f>SQRT(G52)*ABS(I52/4880)*E52</f>
        <v>7.7652627195238556E-3</v>
      </c>
      <c r="M52" s="10"/>
      <c r="N52" s="3">
        <f t="shared" si="8"/>
        <v>0</v>
      </c>
      <c r="O52" s="10">
        <v>4.2872389731671996</v>
      </c>
      <c r="P52" s="3" cm="1">
        <f t="array" ref="P52">(E52+2*D52-10537-VgB(O52)*1000)/4880</f>
        <v>0.17135731665399162</v>
      </c>
      <c r="Q52" s="25">
        <f>(4/3)*F52*(1/3)*(1/2)*E52^3*G52*(I52/4880)^2</f>
        <v>3.510759541565663E-3</v>
      </c>
    </row>
    <row r="53" spans="1:23" x14ac:dyDescent="0.3">
      <c r="C53" t="s">
        <v>8</v>
      </c>
      <c r="D53">
        <v>10106</v>
      </c>
      <c r="E53" s="33">
        <f t="shared" si="9"/>
        <v>799</v>
      </c>
      <c r="F53" s="10" cm="1">
        <f t="array" ref="F53">als(E53/1000)</f>
        <v>0.4710362853024434</v>
      </c>
      <c r="G53" s="10">
        <v>3</v>
      </c>
      <c r="H53" s="10">
        <v>0.348262578757987</v>
      </c>
      <c r="I53" s="10"/>
      <c r="J53" s="10"/>
      <c r="K53" s="10"/>
      <c r="L53" s="10">
        <f>SQRT(G53)*ABS(H53/4880)*E53</f>
        <v>9.8763027898821548E-2</v>
      </c>
      <c r="M53" s="10"/>
      <c r="N53" s="3">
        <f t="shared" si="8"/>
        <v>0</v>
      </c>
      <c r="O53" s="10">
        <v>2.6197365527972898</v>
      </c>
      <c r="P53" s="3" cm="1">
        <f t="array" ref="P53">(E53+2*D53-10537-VgB(O53)*1000)/4880</f>
        <v>0.14208379229792173</v>
      </c>
      <c r="Q53" s="25">
        <f>(4/3)*F53*(1/3)*(1/2)*E53^3*G53*(H53/4880)^2</f>
        <v>0.81578820393354701</v>
      </c>
    </row>
    <row r="54" spans="1:23" x14ac:dyDescent="0.3">
      <c r="C54" t="s">
        <v>9</v>
      </c>
      <c r="D54">
        <v>10416</v>
      </c>
      <c r="E54" s="33">
        <f t="shared" si="9"/>
        <v>489</v>
      </c>
      <c r="F54" s="10" cm="1">
        <f t="array" ref="F54">als(E54/1000)</f>
        <v>0.75994064580292697</v>
      </c>
      <c r="G54" s="10">
        <v>3</v>
      </c>
      <c r="H54" s="10">
        <v>-0.32507314079382399</v>
      </c>
      <c r="I54" s="10"/>
      <c r="J54" s="10"/>
      <c r="K54" s="10"/>
      <c r="L54" s="10">
        <f>SQRT(G54)*ABS(H54/4880)*E54</f>
        <v>5.6419697307194108E-2</v>
      </c>
      <c r="M54" s="10"/>
      <c r="N54" s="3">
        <f t="shared" si="8"/>
        <v>0</v>
      </c>
      <c r="O54" s="10">
        <v>3.5477705192787301</v>
      </c>
      <c r="P54" s="3" cm="1">
        <f t="array" ref="P54">(E54+2*D54-10537-VgB(O54)*1000)/4880</f>
        <v>0.15981095424476027</v>
      </c>
      <c r="Q54" s="25">
        <f>(4/3)*F54*(1/3)*(1/2)*E54^3*G54*(H54/4880)^2</f>
        <v>0.26286787998266958</v>
      </c>
    </row>
    <row r="55" spans="1:23" x14ac:dyDescent="0.3">
      <c r="C55" t="s">
        <v>10</v>
      </c>
      <c r="D55">
        <v>10689</v>
      </c>
      <c r="E55" s="33">
        <f t="shared" si="9"/>
        <v>216</v>
      </c>
      <c r="F55" s="10" cm="1">
        <f t="array" ref="F55">als(E55/1000)</f>
        <v>1</v>
      </c>
      <c r="G55" s="10">
        <v>3</v>
      </c>
      <c r="H55" s="10">
        <v>6.6459051063369301E-2</v>
      </c>
      <c r="I55" s="10"/>
      <c r="J55" s="10"/>
      <c r="K55" s="10"/>
      <c r="L55" s="10">
        <f>SQRT(G55)*ABS(H55/4880)*E55</f>
        <v>5.0950528405629371E-3</v>
      </c>
      <c r="M55" s="10"/>
      <c r="N55" s="3">
        <f t="shared" si="8"/>
        <v>0</v>
      </c>
      <c r="O55" s="10">
        <v>4.3779667163029297</v>
      </c>
      <c r="P55" s="3" cm="1">
        <f t="array" ref="P55">(E55+2*D55-10537-VgB(O55)*1000)/4880</f>
        <v>0.17654859120288441</v>
      </c>
      <c r="Q55" s="25">
        <f>(4/3)*F55*(1/3)*(1/2)*E55^3*G55*(H55/4880)^2</f>
        <v>1.2460590455101656E-3</v>
      </c>
      <c r="R55" s="16"/>
    </row>
    <row r="56" spans="1:23" x14ac:dyDescent="0.3">
      <c r="C56" t="s">
        <v>11</v>
      </c>
      <c r="D56">
        <v>10939</v>
      </c>
      <c r="E56" s="33"/>
      <c r="F56" s="10"/>
      <c r="G56" s="10"/>
      <c r="H56" s="10"/>
      <c r="I56" s="10"/>
      <c r="J56" s="10"/>
      <c r="K56" s="10"/>
      <c r="L56" s="10"/>
      <c r="M56" s="10"/>
      <c r="N56" s="3"/>
      <c r="O56" s="10"/>
      <c r="P56" s="3"/>
      <c r="Q56" s="25"/>
    </row>
    <row r="57" spans="1:23" x14ac:dyDescent="0.3">
      <c r="A57" s="13" t="s">
        <v>53</v>
      </c>
      <c r="B57" s="13">
        <v>11103</v>
      </c>
      <c r="C57" s="13" t="s">
        <v>3</v>
      </c>
      <c r="D57" s="13">
        <v>9551</v>
      </c>
      <c r="E57" s="13">
        <f t="shared" ref="E57:E64" si="10">$B$57-D57</f>
        <v>1552</v>
      </c>
      <c r="F57" s="11" cm="1">
        <f t="array" ref="F57">als(E57/1000)</f>
        <v>0.32334171665302869</v>
      </c>
      <c r="G57" s="11">
        <v>3</v>
      </c>
      <c r="H57" s="11"/>
      <c r="I57" s="11">
        <v>-0.175440601893016</v>
      </c>
      <c r="J57" s="11"/>
      <c r="K57" s="11">
        <v>-0.166719607297342</v>
      </c>
      <c r="L57" s="11">
        <f>SQRT(G57)*ABS(I57/4880)*E57</f>
        <v>9.6641270525735484E-2</v>
      </c>
      <c r="M57" s="11">
        <f>ABS(K57/1000)*E57</f>
        <v>0.25874883052547482</v>
      </c>
      <c r="N57" s="15">
        <f t="shared" si="8"/>
        <v>0.166719607297342</v>
      </c>
      <c r="O57" s="11">
        <v>1.20873770697426</v>
      </c>
      <c r="P57" s="15" cm="1">
        <f t="array" ref="P57">(E57+2*D57-10537-VgB(O57)*1000)/4880</f>
        <v>0.15300730239235974</v>
      </c>
      <c r="Q57" s="11">
        <f>(4/3)*F57*(1/3)*(1/2)*E57^3*G57*(I57/4880)^2</f>
        <v>1.0415166201612074</v>
      </c>
    </row>
    <row r="58" spans="1:23" x14ac:dyDescent="0.3">
      <c r="A58" s="13"/>
      <c r="B58" s="17"/>
      <c r="C58" s="13" t="s">
        <v>4</v>
      </c>
      <c r="D58" s="13">
        <v>10017</v>
      </c>
      <c r="E58" s="13">
        <f t="shared" si="10"/>
        <v>1086</v>
      </c>
      <c r="F58" s="11" cm="1">
        <f t="array" ref="F58">als(E58/1000)</f>
        <v>0.38744941376341707</v>
      </c>
      <c r="G58" s="11">
        <v>3</v>
      </c>
      <c r="H58" s="11"/>
      <c r="I58" s="11">
        <v>-2.2988825322351001E-2</v>
      </c>
      <c r="J58" s="11"/>
      <c r="K58" s="11">
        <v>0.27655997351998302</v>
      </c>
      <c r="L58" s="11">
        <f>SQRT(G58)*ABS(I58/4880)*E58</f>
        <v>8.8610953734829436E-3</v>
      </c>
      <c r="M58" s="11">
        <f>ABS(K58/1000)*E58</f>
        <v>0.30034413124270154</v>
      </c>
      <c r="N58" s="15">
        <f t="shared" si="8"/>
        <v>0.27655997351998296</v>
      </c>
      <c r="O58" s="11">
        <v>2.4490469895425302</v>
      </c>
      <c r="P58" s="15" cm="1">
        <f t="array" ref="P58">(E58+2*D58-10537-VgB(O58)*1000)/4880</f>
        <v>0.17324840169898617</v>
      </c>
      <c r="Q58" s="15">
        <f>(4/3)*F58*(1/3)*(1/2)*E58^3*G58*(I58/4880)^2</f>
        <v>7.3418776275846103E-3</v>
      </c>
    </row>
    <row r="59" spans="1:23" x14ac:dyDescent="0.3">
      <c r="C59" t="s">
        <v>5</v>
      </c>
      <c r="D59">
        <v>10355</v>
      </c>
      <c r="E59" s="33">
        <f t="shared" si="10"/>
        <v>748</v>
      </c>
      <c r="F59" s="10" cm="1">
        <f t="array" ref="F59">als(E59/1000)</f>
        <v>0.49474832366413185</v>
      </c>
      <c r="G59" s="10">
        <v>3</v>
      </c>
      <c r="H59" s="10"/>
      <c r="I59" s="10">
        <v>-0.40496477377773898</v>
      </c>
      <c r="J59" s="10"/>
      <c r="K59" s="10"/>
      <c r="L59" s="10">
        <f>SQRT(G59)*ABS(I59/4880)*E59</f>
        <v>0.10751267079243709</v>
      </c>
      <c r="M59" s="10"/>
      <c r="N59" s="3">
        <f t="shared" si="8"/>
        <v>0</v>
      </c>
      <c r="O59" s="10">
        <v>3.4295530668187899</v>
      </c>
      <c r="P59" s="3" cm="1">
        <f t="array" ref="P59">(E59+2*D59-10537-VgB(O59)*1000)/4880</f>
        <v>0.19357091282574185</v>
      </c>
      <c r="Q59" s="25">
        <f>(4/3)*F59*(1/3)*(1/2)*E59^3*G59*(I59/4880)^2</f>
        <v>0.95058885161827367</v>
      </c>
    </row>
    <row r="60" spans="1:23" x14ac:dyDescent="0.3">
      <c r="C60" t="s">
        <v>6</v>
      </c>
      <c r="D60">
        <v>10643</v>
      </c>
      <c r="E60" s="33">
        <f t="shared" si="10"/>
        <v>460</v>
      </c>
      <c r="F60" s="10" cm="1">
        <f t="array" ref="F60">als(E60/1000)</f>
        <v>0.82963573853163131</v>
      </c>
      <c r="G60" s="10">
        <v>3</v>
      </c>
      <c r="H60" s="10"/>
      <c r="I60" s="10">
        <v>0.44925664300760099</v>
      </c>
      <c r="J60" s="10"/>
      <c r="K60" s="10"/>
      <c r="L60" s="10">
        <f>SQRT(G60)*ABS(I60/4880)*E60</f>
        <v>7.3348822215249826E-2</v>
      </c>
      <c r="M60" s="10"/>
      <c r="N60" s="3">
        <f t="shared" si="8"/>
        <v>0</v>
      </c>
      <c r="O60" s="10">
        <v>4.2872389731671996</v>
      </c>
      <c r="P60" s="3" cm="1">
        <f t="array" ref="P60">(E60+2*D60-10537-VgB(O60)*1000)/4880</f>
        <v>0.21193108714579489</v>
      </c>
      <c r="Q60" s="25">
        <f>(4/3)*F60*(1/3)*(1/2)*E60^3*G60*(I60/4880)^2</f>
        <v>0.45626700013822735</v>
      </c>
    </row>
    <row r="61" spans="1:23" x14ac:dyDescent="0.3">
      <c r="A61" s="13"/>
      <c r="B61" s="13"/>
      <c r="C61" s="13" t="s">
        <v>8</v>
      </c>
      <c r="D61" s="13">
        <v>10106</v>
      </c>
      <c r="E61" s="13">
        <f t="shared" si="10"/>
        <v>997</v>
      </c>
      <c r="F61" s="11" cm="1">
        <f t="array" ref="F61">als(E61/1000)</f>
        <v>0.40725178444685156</v>
      </c>
      <c r="G61" s="11">
        <v>3</v>
      </c>
      <c r="H61" s="11">
        <v>0.70171434925961096</v>
      </c>
      <c r="I61" s="11"/>
      <c r="J61" s="11">
        <v>1.78900280512335</v>
      </c>
      <c r="K61" s="11"/>
      <c r="L61" s="11">
        <f>SQRT(G61)*ABS(H61/4880)*E61</f>
        <v>0.24831120709053789</v>
      </c>
      <c r="M61" s="32">
        <f>ABS(J61/1000)*E61</f>
        <v>1.7836357967079799</v>
      </c>
      <c r="N61" s="15">
        <f t="shared" si="8"/>
        <v>1.78900280512335</v>
      </c>
      <c r="O61" s="11">
        <v>2.6197365527972898</v>
      </c>
      <c r="P61" s="15" cm="1">
        <f t="array" ref="P61">(E61+2*D61-10537-VgB(O61)*1000)/4880</f>
        <v>0.182657562789725</v>
      </c>
      <c r="Q61" s="11">
        <f>(4/3)*F61*(1/3)*(1/2)*E61^3*G61*(H61/4880)^2</f>
        <v>5.56337433502945</v>
      </c>
    </row>
    <row r="62" spans="1:23" x14ac:dyDescent="0.3">
      <c r="C62" t="s">
        <v>9</v>
      </c>
      <c r="D62">
        <v>10416</v>
      </c>
      <c r="E62" s="33">
        <f t="shared" si="10"/>
        <v>687</v>
      </c>
      <c r="F62" s="10" cm="1">
        <f t="array" ref="F62">als(E62/1000)</f>
        <v>0.52976416735003551</v>
      </c>
      <c r="G62" s="10">
        <v>3</v>
      </c>
      <c r="H62" s="10">
        <v>0.13096218287427799</v>
      </c>
      <c r="I62" s="10"/>
      <c r="J62" s="10"/>
      <c r="K62" s="10"/>
      <c r="L62" s="10">
        <f>SQRT(G62)*ABS(H62/4880)*E62</f>
        <v>3.193327401966279E-2</v>
      </c>
      <c r="M62" s="10"/>
      <c r="N62" s="3">
        <f t="shared" si="8"/>
        <v>0</v>
      </c>
      <c r="O62" s="10">
        <v>3.5477705192787301</v>
      </c>
      <c r="P62" s="3" cm="1">
        <f t="array" ref="P62">(E62+2*D62-10537-VgB(O62)*1000)/4880</f>
        <v>0.20038472473656355</v>
      </c>
      <c r="Q62" s="25">
        <f>(4/3)*F62*(1/3)*(1/2)*E62^3*G62*(H62/4880)^2</f>
        <v>8.2473361930166036E-2</v>
      </c>
    </row>
    <row r="63" spans="1:23" x14ac:dyDescent="0.3">
      <c r="C63" t="s">
        <v>10</v>
      </c>
      <c r="D63">
        <v>10689</v>
      </c>
      <c r="E63" s="33">
        <f t="shared" si="10"/>
        <v>414</v>
      </c>
      <c r="F63" s="10" cm="1">
        <f t="array" ref="F63">als(E63/1000)</f>
        <v>0.98940710127700759</v>
      </c>
      <c r="G63" s="10">
        <v>3</v>
      </c>
      <c r="H63" s="10">
        <v>-0.28639877481579001</v>
      </c>
      <c r="I63" s="10"/>
      <c r="J63" s="10"/>
      <c r="K63" s="10"/>
      <c r="L63" s="10">
        <f>SQRT(G63)*ABS(H63/4880)*E63</f>
        <v>4.2083543625299265E-2</v>
      </c>
      <c r="M63" s="10"/>
      <c r="N63" s="3">
        <f t="shared" si="8"/>
        <v>0</v>
      </c>
      <c r="O63" s="10">
        <v>4.3779667163029297</v>
      </c>
      <c r="P63" s="3" cm="1">
        <f t="array" ref="P63">(E63+2*D63-10537-VgB(O63)*1000)/4880</f>
        <v>0.21712236169468768</v>
      </c>
      <c r="Q63" s="25">
        <f>(4/3)*F63*(1/3)*(1/2)*E63^3*G63*(H63/4880)^2</f>
        <v>0.16120832106222296</v>
      </c>
    </row>
    <row r="64" spans="1:23" x14ac:dyDescent="0.3">
      <c r="C64" t="s">
        <v>11</v>
      </c>
      <c r="D64">
        <v>10939</v>
      </c>
      <c r="E64" s="33">
        <f t="shared" si="10"/>
        <v>164</v>
      </c>
      <c r="F64" s="10" cm="1">
        <f t="array" ref="F64">als(E64/1000)</f>
        <v>1</v>
      </c>
      <c r="G64" s="10">
        <v>3</v>
      </c>
      <c r="H64" s="10">
        <v>4.2053448381674602E-2</v>
      </c>
      <c r="I64" s="10"/>
      <c r="J64" s="10"/>
      <c r="K64" s="10"/>
      <c r="L64" s="10">
        <f>SQRT(G64)*ABS(H64/4880)*E64</f>
        <v>2.4478582610261961E-3</v>
      </c>
      <c r="M64" s="10"/>
      <c r="N64" s="3">
        <f t="shared" si="8"/>
        <v>0</v>
      </c>
      <c r="O64" s="10">
        <v>5.1386442490654396</v>
      </c>
      <c r="P64" s="3" cm="1">
        <f t="array" ref="P64">(E64+2*D64-10537-VgB(O64)*1000)/4880</f>
        <v>0.23317549437890758</v>
      </c>
      <c r="Q64" s="25">
        <f>(4/3)*F64*(1/3)*(1/2)*E64^3*G64*(H64/4880)^2</f>
        <v>2.1837547796359281E-4</v>
      </c>
    </row>
    <row r="67" spans="1:2" x14ac:dyDescent="0.3">
      <c r="A67" s="2"/>
      <c r="B67" s="2"/>
    </row>
    <row r="68" spans="1:2" x14ac:dyDescent="0.3">
      <c r="A68" s="2"/>
    </row>
  </sheetData>
  <conditionalFormatting sqref="B6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B4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2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735-4686-449F-B22E-B2A46575D318}">
  <sheetPr codeName="Full7">
    <pageSetUpPr fitToPage="1"/>
  </sheetPr>
  <dimension ref="A1:O38"/>
  <sheetViews>
    <sheetView topLeftCell="A22" workbookViewId="0">
      <selection activeCell="E8" sqref="E8:O8"/>
    </sheetView>
  </sheetViews>
  <sheetFormatPr defaultRowHeight="14.4" x14ac:dyDescent="0.3"/>
  <cols>
    <col min="1" max="1" width="7.5546875" customWidth="1"/>
    <col min="2" max="2" width="8.109375" bestFit="1" customWidth="1"/>
    <col min="3" max="3" width="7.21875" bestFit="1" customWidth="1"/>
    <col min="4" max="4" width="6" bestFit="1" customWidth="1"/>
    <col min="5" max="5" width="6.44140625" customWidth="1"/>
    <col min="6" max="6" width="7.77734375" bestFit="1" customWidth="1"/>
    <col min="7" max="7" width="4" bestFit="1" customWidth="1"/>
    <col min="8" max="8" width="6.33203125" bestFit="1" customWidth="1"/>
    <col min="9" max="9" width="8.5546875" bestFit="1" customWidth="1"/>
    <col min="10" max="10" width="11.6640625" bestFit="1" customWidth="1"/>
    <col min="11" max="11" width="10.21875" bestFit="1" customWidth="1"/>
    <col min="12" max="14" width="8.77734375" customWidth="1"/>
    <col min="15" max="15" width="8.21875" customWidth="1"/>
  </cols>
  <sheetData>
    <row r="1" spans="1:15" x14ac:dyDescent="0.3">
      <c r="A1" t="s">
        <v>44</v>
      </c>
      <c r="E1" t="s">
        <v>50</v>
      </c>
      <c r="H1" s="40" t="s">
        <v>104</v>
      </c>
      <c r="I1" s="5" t="s">
        <v>102</v>
      </c>
      <c r="J1" s="6" t="s">
        <v>101</v>
      </c>
      <c r="K1" s="5" t="s">
        <v>105</v>
      </c>
      <c r="L1" s="6" t="s">
        <v>101</v>
      </c>
      <c r="M1" s="5" t="s">
        <v>106</v>
      </c>
      <c r="N1" s="6"/>
    </row>
    <row r="2" spans="1:15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7</v>
      </c>
      <c r="I3" s="1" t="s">
        <v>64</v>
      </c>
      <c r="J3" s="1" t="s">
        <v>100</v>
      </c>
      <c r="K3" s="1" t="s">
        <v>76</v>
      </c>
      <c r="L3" s="27" t="s">
        <v>73</v>
      </c>
      <c r="M3" s="27" t="s">
        <v>74</v>
      </c>
      <c r="N3" s="27" t="s">
        <v>78</v>
      </c>
      <c r="O3" s="1" t="s">
        <v>38</v>
      </c>
    </row>
    <row r="4" spans="1:15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95</v>
      </c>
      <c r="M4" s="27" t="s">
        <v>95</v>
      </c>
      <c r="N4" s="27"/>
      <c r="O4" s="1" t="s">
        <v>34</v>
      </c>
    </row>
    <row r="5" spans="1:15" x14ac:dyDescent="0.3">
      <c r="A5" t="s">
        <v>2</v>
      </c>
      <c r="B5">
        <v>4455</v>
      </c>
      <c r="C5" t="s">
        <v>20</v>
      </c>
      <c r="D5">
        <v>3457</v>
      </c>
      <c r="E5">
        <f>$B$5-D5</f>
        <v>998</v>
      </c>
      <c r="F5" s="3" cm="1">
        <f t="array" ref="F5">als(E5/1000)</f>
        <v>0.40700653362199235</v>
      </c>
      <c r="G5" s="7">
        <v>1</v>
      </c>
      <c r="H5" s="3">
        <v>0.98792681722073095</v>
      </c>
      <c r="I5" s="3">
        <v>3.2687214261615201</v>
      </c>
      <c r="J5" s="3">
        <f>SQRT(G5)*ABS(H5/1470)*E5</f>
        <v>0.67071494121516295</v>
      </c>
      <c r="K5" s="47">
        <f>ABS(I5/1000)*E5</f>
        <v>3.262183983309197</v>
      </c>
      <c r="L5" s="3">
        <f>K5/(E5/1000)</f>
        <v>3.2687214261615201</v>
      </c>
      <c r="M5" s="3">
        <v>3.1414552694423699</v>
      </c>
      <c r="N5" s="3" cm="1">
        <f t="array" ref="N5">(E5+2*D5-3712-VgC(M5)*1000)/1470</f>
        <v>0.7598536263142619</v>
      </c>
      <c r="O5" s="9">
        <f>(4/3)*F5*(1/3)*(1/2)*E5^3*G5*(H5/1470)^2</f>
        <v>40.606482479139849</v>
      </c>
    </row>
    <row r="6" spans="1:15" x14ac:dyDescent="0.3">
      <c r="B6" s="2"/>
      <c r="C6" t="s">
        <v>23</v>
      </c>
      <c r="D6">
        <v>3958</v>
      </c>
      <c r="E6" s="33">
        <f>$B$5-D6</f>
        <v>497</v>
      </c>
      <c r="F6" s="3" cm="1">
        <f t="array" ref="F6">als(E6/1000)</f>
        <v>0.74358018063885567</v>
      </c>
      <c r="G6" s="7">
        <v>1</v>
      </c>
      <c r="H6" s="3">
        <v>-0.143288879939618</v>
      </c>
      <c r="I6" s="3"/>
      <c r="J6" s="3"/>
      <c r="K6" s="3"/>
      <c r="L6" s="3">
        <f t="shared" ref="L6:L16" si="0">K6/(E6/1000)</f>
        <v>0</v>
      </c>
      <c r="M6" s="3">
        <v>4.6577871743427401</v>
      </c>
      <c r="N6" s="3" cm="1">
        <f t="array" ref="N6">(E6+2*D6-3712-VgC(M6)*1000)/1470</f>
        <v>0.86197440212528575</v>
      </c>
      <c r="O6" s="9"/>
    </row>
    <row r="7" spans="1:15" x14ac:dyDescent="0.3">
      <c r="C7" t="s">
        <v>24</v>
      </c>
      <c r="D7">
        <v>4388</v>
      </c>
      <c r="E7" s="33">
        <f>$B$5-D7</f>
        <v>67</v>
      </c>
      <c r="F7" s="3" cm="1">
        <f t="array" ref="F7">als(E7/1000)</f>
        <v>1E-4</v>
      </c>
      <c r="G7" s="7">
        <v>1</v>
      </c>
      <c r="H7" s="3">
        <v>-3.4860039663522302E-2</v>
      </c>
      <c r="I7" s="3"/>
      <c r="J7" s="3"/>
      <c r="K7" s="3"/>
      <c r="L7" s="3">
        <f t="shared" si="0"/>
        <v>0</v>
      </c>
      <c r="M7" s="3">
        <v>5.9690429745204998</v>
      </c>
      <c r="N7" s="3" cm="1">
        <f t="array" ref="N7">(E7+2*D7-3712-VgC(M7)*1000)/1470</f>
        <v>0.95500898706785831</v>
      </c>
      <c r="O7" s="9"/>
    </row>
    <row r="8" spans="1:15" x14ac:dyDescent="0.3">
      <c r="C8" t="s">
        <v>25</v>
      </c>
      <c r="D8">
        <v>4774</v>
      </c>
      <c r="E8" s="33"/>
      <c r="F8" s="3"/>
      <c r="G8" s="7"/>
      <c r="H8" s="3"/>
      <c r="I8" s="3"/>
      <c r="J8" s="3"/>
      <c r="K8" s="3"/>
      <c r="L8" s="3"/>
      <c r="M8" s="3"/>
      <c r="N8" s="3"/>
      <c r="O8" s="9"/>
    </row>
    <row r="9" spans="1:15" x14ac:dyDescent="0.3">
      <c r="A9" s="13" t="s">
        <v>13</v>
      </c>
      <c r="B9" s="13">
        <v>4917</v>
      </c>
      <c r="C9" s="13" t="s">
        <v>20</v>
      </c>
      <c r="D9" s="13">
        <v>3457</v>
      </c>
      <c r="E9" s="13">
        <f>$B$9-D9</f>
        <v>1460</v>
      </c>
      <c r="F9" s="15" cm="1">
        <f t="array" ref="F9">als(E9/1000)</f>
        <v>0.33263549621265776</v>
      </c>
      <c r="G9" s="12">
        <v>1</v>
      </c>
      <c r="H9" s="15">
        <v>0.13544948023711201</v>
      </c>
      <c r="I9" s="15">
        <v>-0.56151007129175301</v>
      </c>
      <c r="J9" s="15">
        <f>SQRT(G9)*ABS(H9/1470)*E9</f>
        <v>0.13452805520148539</v>
      </c>
      <c r="K9" s="15">
        <f>ABS(I9/1000)*E9</f>
        <v>0.81980470408595929</v>
      </c>
      <c r="L9" s="15">
        <f t="shared" si="0"/>
        <v>0.5615100712917529</v>
      </c>
      <c r="M9" s="15">
        <v>3.1414552694423699</v>
      </c>
      <c r="N9" s="15" cm="1">
        <f t="array" ref="N9">(E9+2*D9-3712-VgC(M9)*1000)/1470</f>
        <v>1.0741393405999762</v>
      </c>
      <c r="O9" s="14">
        <f>(4/3)*F9*(1/3)*(1/2)*E9^3*G9*(H9/1470)^2</f>
        <v>1.953145788838474</v>
      </c>
    </row>
    <row r="10" spans="1:15" x14ac:dyDescent="0.3">
      <c r="B10" s="2"/>
      <c r="C10" t="s">
        <v>23</v>
      </c>
      <c r="D10">
        <v>3958</v>
      </c>
      <c r="E10">
        <f>$B$9-D10</f>
        <v>959</v>
      </c>
      <c r="F10" s="3" cm="1">
        <f t="array" ref="F10">als(E10/1000)</f>
        <v>0.41701953866283648</v>
      </c>
      <c r="G10" s="7">
        <v>1</v>
      </c>
      <c r="H10" s="3">
        <v>0.97716338464309005</v>
      </c>
      <c r="I10" s="3">
        <v>4.6372217531009996</v>
      </c>
      <c r="J10" s="3">
        <f>SQRT(G10)*ABS(H10/1470)*E10</f>
        <v>0.637482779505254</v>
      </c>
      <c r="K10" s="47">
        <f>ABS(I10/1000)*E10</f>
        <v>4.4470956612238588</v>
      </c>
      <c r="L10" s="3">
        <f t="shared" si="0"/>
        <v>4.6372217531009996</v>
      </c>
      <c r="M10" s="3">
        <v>4.6577871743427401</v>
      </c>
      <c r="N10" s="3" cm="1">
        <f t="array" ref="N10">(E10+2*D10-3712-VgC(M10)*1000)/1470</f>
        <v>1.176260116411</v>
      </c>
      <c r="O10" s="9">
        <f>(4/3)*F10*(1/3)*(1/2)*E10^3*G10*(H10/1470)^2</f>
        <v>36.115980677118991</v>
      </c>
    </row>
    <row r="11" spans="1:15" x14ac:dyDescent="0.3">
      <c r="C11" t="s">
        <v>24</v>
      </c>
      <c r="D11">
        <v>4388</v>
      </c>
      <c r="E11" s="33">
        <f>$B$9-D11</f>
        <v>529</v>
      </c>
      <c r="F11" s="3" cm="1">
        <f t="array" ref="F11">als(E11/1000)</f>
        <v>0.68750060932260215</v>
      </c>
      <c r="G11" s="7">
        <v>1</v>
      </c>
      <c r="H11" s="3">
        <v>-0.13290312585832401</v>
      </c>
      <c r="I11" s="3"/>
      <c r="J11" s="3"/>
      <c r="K11" s="3"/>
      <c r="L11" s="3">
        <f t="shared" si="0"/>
        <v>0</v>
      </c>
      <c r="M11" s="3">
        <v>5.9690429745204998</v>
      </c>
      <c r="N11" s="3" cm="1">
        <f t="array" ref="N11">(E11+2*D11-3712-VgC(M11)*1000)/1470</f>
        <v>1.2692947013535725</v>
      </c>
      <c r="O11" s="9"/>
    </row>
    <row r="12" spans="1:15" x14ac:dyDescent="0.3">
      <c r="C12" t="s">
        <v>25</v>
      </c>
      <c r="D12">
        <v>4774</v>
      </c>
      <c r="E12" s="33">
        <f>$B$9-D12</f>
        <v>143</v>
      </c>
      <c r="F12" s="3" cm="1">
        <f t="array" ref="F12">als(E12/1000)</f>
        <v>1</v>
      </c>
      <c r="G12" s="7">
        <v>1</v>
      </c>
      <c r="H12" s="3">
        <v>-3.2154416806032302E-2</v>
      </c>
      <c r="I12" s="3"/>
      <c r="J12" s="3"/>
      <c r="K12" s="3"/>
      <c r="L12" s="3">
        <f t="shared" si="0"/>
        <v>0</v>
      </c>
      <c r="M12" s="3">
        <v>7.1525798485286902</v>
      </c>
      <c r="N12" s="3" cm="1">
        <f t="array" ref="N12">(E12+2*D12-3712-VgC(M12)*1000)/1470</f>
        <v>1.3542514687949436</v>
      </c>
      <c r="O12" s="9"/>
    </row>
    <row r="13" spans="1:15" x14ac:dyDescent="0.3">
      <c r="A13" s="13" t="s">
        <v>14</v>
      </c>
      <c r="B13" s="13">
        <v>5315</v>
      </c>
      <c r="C13" s="13" t="s">
        <v>20</v>
      </c>
      <c r="D13" s="13">
        <v>3457</v>
      </c>
      <c r="E13" s="13">
        <f>$B$13-D13</f>
        <v>1858</v>
      </c>
      <c r="F13" s="15" cm="1">
        <f t="array" ref="F13">als(E13/1000)</f>
        <v>0.29895896361204283</v>
      </c>
      <c r="G13" s="12">
        <v>1</v>
      </c>
      <c r="H13" s="15">
        <v>4.9870161481481802E-2</v>
      </c>
      <c r="I13" s="15">
        <v>-0.20175783487798499</v>
      </c>
      <c r="J13" s="15">
        <f>SQRT(G13)*ABS(H13/1470)*E13</f>
        <v>6.3033170090199445E-2</v>
      </c>
      <c r="K13" s="15">
        <f>ABS(I13/1000)*E13</f>
        <v>0.37486605720329613</v>
      </c>
      <c r="L13" s="15">
        <f t="shared" si="0"/>
        <v>0.20175783487798499</v>
      </c>
      <c r="M13" s="15">
        <v>3.1414552694423699</v>
      </c>
      <c r="N13" s="15" cm="1">
        <f t="array" ref="N13">(E13+2*D13-3712-VgC(M13)*1000)/1470</f>
        <v>1.3448876399197041</v>
      </c>
      <c r="O13" s="14">
        <f>(4/3)*F13*(1/3)*(1/2)*E13^3*G13*(H13/1470)^2</f>
        <v>0.49043682696192065</v>
      </c>
    </row>
    <row r="14" spans="1:15" x14ac:dyDescent="0.3">
      <c r="A14" s="13"/>
      <c r="B14" s="17"/>
      <c r="C14" s="13" t="s">
        <v>23</v>
      </c>
      <c r="D14" s="13">
        <v>3958</v>
      </c>
      <c r="E14" s="13">
        <f>$B$13-D14</f>
        <v>1357</v>
      </c>
      <c r="F14" s="15" cm="1">
        <f t="array" ref="F14">als(E14/1000)</f>
        <v>0.34455798277894345</v>
      </c>
      <c r="G14" s="12">
        <v>1</v>
      </c>
      <c r="H14" s="15">
        <v>0.113452331080361</v>
      </c>
      <c r="I14" s="15">
        <v>-0.90841064122489401</v>
      </c>
      <c r="J14" s="15">
        <f>SQRT(G14)*ABS(H14/1470)*E14</f>
        <v>0.10473116549391148</v>
      </c>
      <c r="K14" s="35">
        <f t="shared" ref="K14:K15" si="1">ABS(I14/1000)*E14</f>
        <v>1.2327132401421812</v>
      </c>
      <c r="L14" s="15">
        <f t="shared" si="0"/>
        <v>0.90841064122489401</v>
      </c>
      <c r="M14" s="15">
        <v>4.6577871743427401</v>
      </c>
      <c r="N14" s="15" cm="1">
        <f t="array" ref="N14">(E14+2*D14-3712-VgC(M14)*1000)/1470</f>
        <v>1.4470084157307279</v>
      </c>
      <c r="O14" s="14">
        <f>(4/3)*F14*(1/3)*(1/2)*E14^3*G14*(H14/1470)^2</f>
        <v>1.1396763161860706</v>
      </c>
    </row>
    <row r="15" spans="1:15" x14ac:dyDescent="0.3">
      <c r="C15" t="s">
        <v>24</v>
      </c>
      <c r="D15">
        <v>4388</v>
      </c>
      <c r="E15">
        <f>$B$13-D15</f>
        <v>927</v>
      </c>
      <c r="F15" s="3" cm="1">
        <f t="array" ref="F15">als(E15/1000)</f>
        <v>0.42599020547464683</v>
      </c>
      <c r="G15" s="7">
        <v>1</v>
      </c>
      <c r="H15" s="3">
        <v>0.96162207405409905</v>
      </c>
      <c r="I15" s="3">
        <v>5.9952201998654298</v>
      </c>
      <c r="J15" s="3">
        <f>SQRT(G15)*ABS(H15/1470)*E15</f>
        <v>0.60641065486268686</v>
      </c>
      <c r="K15" s="47">
        <f t="shared" si="1"/>
        <v>5.5575691252752533</v>
      </c>
      <c r="L15" s="3">
        <f t="shared" si="0"/>
        <v>5.9952201998654298</v>
      </c>
      <c r="M15" s="3">
        <v>5.9690429745204998</v>
      </c>
      <c r="N15" s="3" cm="1">
        <f t="array" ref="N15">(E15+2*D15-3712-VgC(M15)*1000)/1470</f>
        <v>1.5400430006733004</v>
      </c>
      <c r="O15" s="9">
        <f>(4/3)*F15*(1/3)*(1/2)*E15^3*G15*(H15/1470)^2</f>
        <v>32.270112611398851</v>
      </c>
    </row>
    <row r="16" spans="1:15" x14ac:dyDescent="0.3">
      <c r="C16" t="s">
        <v>25</v>
      </c>
      <c r="D16">
        <v>4774</v>
      </c>
      <c r="E16" s="33">
        <f>$B$13-D16</f>
        <v>541</v>
      </c>
      <c r="F16" s="3" cm="1">
        <f t="array" ref="F16">als(E16/1000)</f>
        <v>0.66964004760101459</v>
      </c>
      <c r="G16" s="7">
        <v>1</v>
      </c>
      <c r="H16" s="3">
        <v>-0.22157908402457499</v>
      </c>
      <c r="I16" s="3"/>
      <c r="J16" s="3">
        <f>SQRT(G16)*ABS(H16/1470)*E16</f>
        <v>8.1547132283874196E-2</v>
      </c>
      <c r="K16" s="3"/>
      <c r="L16" s="3">
        <f t="shared" si="0"/>
        <v>0</v>
      </c>
      <c r="M16" s="3">
        <v>7.1525798485286902</v>
      </c>
      <c r="N16" s="3" cm="1">
        <f t="array" ref="N16">(E16+2*D16-3712-VgC(M16)*1000)/1470</f>
        <v>1.6249997681146715</v>
      </c>
      <c r="O16" s="9"/>
    </row>
    <row r="18" spans="1:15" x14ac:dyDescent="0.3">
      <c r="A18" t="s">
        <v>44</v>
      </c>
      <c r="E18" t="s">
        <v>50</v>
      </c>
      <c r="H18" s="40" t="s">
        <v>104</v>
      </c>
      <c r="I18" s="5" t="s">
        <v>102</v>
      </c>
      <c r="J18" s="6" t="s">
        <v>101</v>
      </c>
      <c r="K18" s="5" t="s">
        <v>105</v>
      </c>
      <c r="L18" s="6" t="s">
        <v>101</v>
      </c>
      <c r="M18" s="5" t="s">
        <v>106</v>
      </c>
      <c r="N18" s="6"/>
    </row>
    <row r="19" spans="1:15" x14ac:dyDescent="0.3">
      <c r="A19" s="1" t="s">
        <v>0</v>
      </c>
      <c r="B19" s="1"/>
      <c r="C19" s="1" t="s">
        <v>15</v>
      </c>
      <c r="D19" s="1"/>
      <c r="E19" s="1" t="s">
        <v>1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s="1" t="s">
        <v>31</v>
      </c>
      <c r="B20" s="1" t="s">
        <v>42</v>
      </c>
      <c r="C20" s="1" t="s">
        <v>32</v>
      </c>
      <c r="D20" s="1" t="s">
        <v>33</v>
      </c>
      <c r="E20" s="1" t="s">
        <v>35</v>
      </c>
      <c r="F20" s="1" t="s">
        <v>36</v>
      </c>
      <c r="G20" s="1" t="s">
        <v>49</v>
      </c>
      <c r="H20" s="1" t="s">
        <v>7</v>
      </c>
      <c r="I20" s="1" t="s">
        <v>64</v>
      </c>
      <c r="J20" s="1" t="s">
        <v>100</v>
      </c>
      <c r="K20" s="1" t="s">
        <v>76</v>
      </c>
      <c r="L20" s="27" t="s">
        <v>73</v>
      </c>
      <c r="M20" s="27" t="s">
        <v>74</v>
      </c>
      <c r="N20" s="27" t="s">
        <v>78</v>
      </c>
      <c r="O20" s="1" t="s">
        <v>38</v>
      </c>
    </row>
    <row r="21" spans="1:15" x14ac:dyDescent="0.3">
      <c r="A21" s="1"/>
      <c r="B21" s="1" t="s">
        <v>34</v>
      </c>
      <c r="C21" s="1"/>
      <c r="D21" s="1" t="s">
        <v>34</v>
      </c>
      <c r="E21" s="1" t="s">
        <v>34</v>
      </c>
      <c r="F21" s="1"/>
      <c r="G21" s="1"/>
      <c r="H21" s="1" t="s">
        <v>37</v>
      </c>
      <c r="I21" s="1"/>
      <c r="J21" s="1"/>
      <c r="K21" s="1"/>
      <c r="L21" s="27" t="s">
        <v>95</v>
      </c>
      <c r="M21" s="27" t="s">
        <v>95</v>
      </c>
      <c r="N21" s="27"/>
      <c r="O21" s="1" t="s">
        <v>34</v>
      </c>
    </row>
    <row r="22" spans="1:15" x14ac:dyDescent="0.3">
      <c r="A22" t="s">
        <v>2</v>
      </c>
      <c r="B22">
        <v>10977</v>
      </c>
      <c r="C22" t="s">
        <v>20</v>
      </c>
      <c r="D22">
        <v>9879</v>
      </c>
      <c r="E22">
        <f>$B$22-D22</f>
        <v>1098</v>
      </c>
      <c r="F22" s="3" cm="1">
        <f t="array" ref="F22">als(E22/1000)</f>
        <v>0.38505766579509387</v>
      </c>
      <c r="G22" s="7">
        <v>1</v>
      </c>
      <c r="H22" s="3">
        <v>0.95954459211973697</v>
      </c>
      <c r="I22" s="3">
        <v>2.1014452266227601</v>
      </c>
      <c r="J22" s="3">
        <f>SQRT(G22)*ABS(H22/4880)*E22</f>
        <v>0.2158975332269408</v>
      </c>
      <c r="K22" s="47">
        <f>ABS(I22/1000)*E22</f>
        <v>2.3073868588317903</v>
      </c>
      <c r="L22" s="3">
        <f>K22/(E22/1000)</f>
        <v>2.1014452266227597</v>
      </c>
      <c r="M22" s="3">
        <v>1.9846116902480599</v>
      </c>
      <c r="N22" s="3" cm="1">
        <f t="array" ref="N22">(E22+2*D22-10537-VgB(M22)*1000)/4880</f>
        <v>0.14431125907114925</v>
      </c>
      <c r="O22" s="8">
        <f>(4/3)*F22*(1/3)*(1/2)*E22^3*G22*(H22/4880)^2</f>
        <v>4.3793631599476797</v>
      </c>
    </row>
    <row r="23" spans="1:15" x14ac:dyDescent="0.3">
      <c r="B23" s="2"/>
      <c r="C23" t="s">
        <v>23</v>
      </c>
      <c r="D23">
        <v>10234</v>
      </c>
      <c r="E23" s="33">
        <f t="shared" ref="E23:E25" si="2">$B$22-D23</f>
        <v>743</v>
      </c>
      <c r="F23" s="3" cm="1">
        <f t="array" ref="F23">als(E23/1000)</f>
        <v>0.49731478947815461</v>
      </c>
      <c r="G23" s="7">
        <v>1</v>
      </c>
      <c r="H23" s="3">
        <v>-0.273559048580997</v>
      </c>
      <c r="I23" s="3">
        <v>-1.4379173914799701</v>
      </c>
      <c r="J23" s="3">
        <f>SQRT(G23)*ABS(H23/4880)*E23</f>
        <v>4.1650486290098522E-2</v>
      </c>
      <c r="K23" s="3">
        <f>ABS(I23/1000)*E23</f>
        <v>1.0683726218696179</v>
      </c>
      <c r="L23" s="3">
        <f t="shared" ref="L23:L33" si="3">K23/(E23/1000)</f>
        <v>1.4379173914799703</v>
      </c>
      <c r="M23" s="3">
        <v>3.0300779091087202</v>
      </c>
      <c r="N23" s="3" cm="1">
        <f t="array" ref="N23">(E23+2*D23-10537-VgB(M23)*1000)/4880</f>
        <v>0.16244654380047086</v>
      </c>
      <c r="O23" s="8">
        <f>(4/3)*F23*(1/3)*(1/2)*E23^3*G23*(H23/4880)^2</f>
        <v>0.14244520268049002</v>
      </c>
    </row>
    <row r="24" spans="1:15" x14ac:dyDescent="0.3">
      <c r="C24" t="s">
        <v>24</v>
      </c>
      <c r="D24">
        <v>10532</v>
      </c>
      <c r="E24" s="33">
        <f t="shared" si="2"/>
        <v>445</v>
      </c>
      <c r="F24" s="3" cm="1">
        <f t="array" ref="F24">als(E24/1000)</f>
        <v>0.87370940638133954</v>
      </c>
      <c r="G24" s="7">
        <v>1</v>
      </c>
      <c r="H24" s="3">
        <v>-3.23427746166862E-2</v>
      </c>
      <c r="I24" s="3"/>
      <c r="J24" s="3"/>
      <c r="K24" s="3"/>
      <c r="L24" s="3">
        <f t="shared" si="3"/>
        <v>0</v>
      </c>
      <c r="M24" s="3">
        <v>3.92262981545097</v>
      </c>
      <c r="N24" s="3" cm="1">
        <f t="array" ref="N24">(E24+2*D24-10537-VgB(M24)*1000)/4880</f>
        <v>0.18049549861851</v>
      </c>
      <c r="O24" s="8"/>
    </row>
    <row r="25" spans="1:15" x14ac:dyDescent="0.3">
      <c r="C25" t="s">
        <v>25</v>
      </c>
      <c r="D25">
        <v>10798</v>
      </c>
      <c r="E25" s="33">
        <f t="shared" si="2"/>
        <v>179</v>
      </c>
      <c r="F25" s="3" cm="1">
        <f t="array" ref="F25">als(E25/1000)</f>
        <v>1</v>
      </c>
      <c r="G25" s="7">
        <v>1</v>
      </c>
      <c r="H25" s="3">
        <v>-1.7809138527834702E-2</v>
      </c>
      <c r="I25" s="3"/>
      <c r="J25" s="3"/>
      <c r="K25" s="3"/>
      <c r="L25" s="3">
        <f t="shared" si="3"/>
        <v>0</v>
      </c>
      <c r="M25" s="3">
        <v>4.72502535854019</v>
      </c>
      <c r="N25" s="3" cm="1">
        <f t="array" ref="N25">(E25+2*D25-10537-VgB(M25)*1000)/4880</f>
        <v>0.19752314059532755</v>
      </c>
      <c r="O25" s="8"/>
    </row>
    <row r="26" spans="1:15" x14ac:dyDescent="0.3">
      <c r="A26" s="13" t="s">
        <v>13</v>
      </c>
      <c r="B26" s="13">
        <v>11261</v>
      </c>
      <c r="C26" s="13" t="s">
        <v>20</v>
      </c>
      <c r="D26" s="13">
        <v>9879</v>
      </c>
      <c r="E26" s="13">
        <f>$B$26-D26</f>
        <v>1382</v>
      </c>
      <c r="F26" s="15" cm="1">
        <f t="array" ref="F26">als(E26/1000)</f>
        <v>0.34149653574809941</v>
      </c>
      <c r="G26" s="12">
        <v>1</v>
      </c>
      <c r="H26" s="15">
        <v>0.24196970848509899</v>
      </c>
      <c r="I26" s="15">
        <v>-5.6100471981907901E-2</v>
      </c>
      <c r="J26" s="15">
        <f>SQRT(G26)*ABS(H26/4880)*E26</f>
        <v>6.8525028099673535E-2</v>
      </c>
      <c r="K26" s="15">
        <f>ABS(I26/1000)*E26</f>
        <v>7.7530852278996726E-2</v>
      </c>
      <c r="L26" s="15">
        <f t="shared" si="3"/>
        <v>5.6100471981907908E-2</v>
      </c>
      <c r="M26" s="15">
        <v>1.9846116902480599</v>
      </c>
      <c r="N26" s="15" cm="1">
        <f t="array" ref="N26">(E26+2*D26-10537-VgB(M26)*1000)/4880</f>
        <v>0.20250798038262466</v>
      </c>
      <c r="O26" s="14">
        <f>(4/3)*F26*(1/3)*(1/2)*E26^3*G26*(H26/4880)^2</f>
        <v>0.49247056327745947</v>
      </c>
    </row>
    <row r="27" spans="1:15" x14ac:dyDescent="0.3">
      <c r="B27" s="2"/>
      <c r="C27" t="s">
        <v>23</v>
      </c>
      <c r="D27">
        <v>10234</v>
      </c>
      <c r="E27">
        <f t="shared" ref="E27:E29" si="4">$B$26-D27</f>
        <v>1027</v>
      </c>
      <c r="F27" s="3" cm="1">
        <f t="array" ref="F27">als(E27/1000)</f>
        <v>0.40013540812008846</v>
      </c>
      <c r="G27" s="7">
        <v>1</v>
      </c>
      <c r="H27" s="3">
        <v>0.89630162606532804</v>
      </c>
      <c r="I27" s="3">
        <v>2.9270968413389</v>
      </c>
      <c r="J27" s="3">
        <f>SQRT(G27)*ABS(H27/4880)*E27</f>
        <v>0.18862741187891227</v>
      </c>
      <c r="K27" s="47">
        <f t="shared" ref="K27:K28" si="5">ABS(I27/1000)*E27</f>
        <v>3.0061284560550505</v>
      </c>
      <c r="L27" s="3">
        <f t="shared" si="3"/>
        <v>2.9270968413389005</v>
      </c>
      <c r="M27" s="3">
        <v>3.0300779091087202</v>
      </c>
      <c r="N27" s="3" cm="1">
        <f t="array" ref="N27">(E27+2*D27-10537-VgB(M27)*1000)/4880</f>
        <v>0.22064326511194626</v>
      </c>
      <c r="O27" s="8">
        <f>(4/3)*F27*(1/3)*(1/2)*E27^3*G27*(H27/4880)^2</f>
        <v>3.2491856431674795</v>
      </c>
    </row>
    <row r="28" spans="1:15" x14ac:dyDescent="0.3">
      <c r="C28" t="s">
        <v>24</v>
      </c>
      <c r="D28">
        <v>10532</v>
      </c>
      <c r="E28" s="33">
        <f t="shared" si="4"/>
        <v>729</v>
      </c>
      <c r="F28" s="3" cm="1">
        <f t="array" ref="F28">als(E28/1000)</f>
        <v>0.5047640058603885</v>
      </c>
      <c r="G28" s="7">
        <v>1</v>
      </c>
      <c r="H28" s="3">
        <v>-0.35651959341003697</v>
      </c>
      <c r="I28" s="3">
        <v>-2.2679585024575402</v>
      </c>
      <c r="J28" s="3">
        <f>SQRT(G28)*ABS(H28/4880)*E28</f>
        <v>5.3258767130310851E-2</v>
      </c>
      <c r="K28" s="3">
        <f t="shared" si="5"/>
        <v>1.6533417482915467</v>
      </c>
      <c r="L28" s="3">
        <f t="shared" si="3"/>
        <v>2.2679585024575402</v>
      </c>
      <c r="M28" s="3">
        <v>3.92262981545097</v>
      </c>
      <c r="N28" s="3" cm="1">
        <f t="array" ref="N28">(E28+2*D28-10537-VgB(M28)*1000)/4880</f>
        <v>0.23869221992998541</v>
      </c>
      <c r="O28" s="8">
        <f>(4/3)*F28*(1/3)*(1/2)*E28^3*G28*(H28/4880)^2</f>
        <v>0.23194531812653793</v>
      </c>
    </row>
    <row r="29" spans="1:15" x14ac:dyDescent="0.3">
      <c r="C29" t="s">
        <v>25</v>
      </c>
      <c r="D29">
        <v>10798</v>
      </c>
      <c r="E29" s="33">
        <f t="shared" si="4"/>
        <v>463</v>
      </c>
      <c r="F29" s="3" cm="1">
        <f t="array" ref="F29">als(E29/1000)</f>
        <v>0.82155395653179231</v>
      </c>
      <c r="G29" s="7">
        <v>1</v>
      </c>
      <c r="H29" s="3">
        <v>-4.7197844310889601E-2</v>
      </c>
      <c r="I29" s="3"/>
      <c r="J29" s="3"/>
      <c r="K29" s="3"/>
      <c r="L29" s="3">
        <f t="shared" si="3"/>
        <v>0</v>
      </c>
      <c r="M29" s="3">
        <v>4.72502535854019</v>
      </c>
      <c r="N29" s="3" cm="1">
        <f t="array" ref="N29">(E29+2*D29-10537-VgB(M29)*1000)/4880</f>
        <v>0.25571986190680296</v>
      </c>
      <c r="O29" s="8"/>
    </row>
    <row r="30" spans="1:15" x14ac:dyDescent="0.3">
      <c r="A30" s="13" t="s">
        <v>14</v>
      </c>
      <c r="B30" s="13">
        <v>11525</v>
      </c>
      <c r="C30" s="13" t="s">
        <v>20</v>
      </c>
      <c r="D30" s="13">
        <v>9879</v>
      </c>
      <c r="E30" s="13">
        <f>$B$30-D30</f>
        <v>1646</v>
      </c>
      <c r="F30" s="15" cm="1">
        <f t="array" ref="F30">als(E30/1000)</f>
        <v>0.31491350302157201</v>
      </c>
      <c r="G30" s="12">
        <v>1</v>
      </c>
      <c r="H30" s="15">
        <v>0.10991095601579499</v>
      </c>
      <c r="I30" s="15">
        <v>-0.112183617808116</v>
      </c>
      <c r="J30" s="15">
        <f>SQRT(G30)*ABS(H30/4880)*E30</f>
        <v>3.7072424918442329E-2</v>
      </c>
      <c r="K30" s="15">
        <f>ABS(I30/1000)*E30</f>
        <v>0.18465423491215893</v>
      </c>
      <c r="L30" s="15">
        <f t="shared" si="3"/>
        <v>0.112183617808116</v>
      </c>
      <c r="M30" s="15">
        <v>1.9846116902480599</v>
      </c>
      <c r="N30" s="15" cm="1">
        <f t="array" ref="N30">(E30+2*D30-10537-VgB(M30)*1000)/4880</f>
        <v>0.25660634103836238</v>
      </c>
      <c r="O30" s="14">
        <f>(4/3)*F30*(1/3)*(1/2)*E30^3*G30*(H30/4880)^2</f>
        <v>0.15831081643063549</v>
      </c>
    </row>
    <row r="31" spans="1:15" x14ac:dyDescent="0.3">
      <c r="A31" s="13"/>
      <c r="B31" s="17"/>
      <c r="C31" s="13" t="s">
        <v>23</v>
      </c>
      <c r="D31" s="13">
        <v>10234</v>
      </c>
      <c r="E31" s="13">
        <f t="shared" ref="E31:E33" si="6">$B$30-D31</f>
        <v>1291</v>
      </c>
      <c r="F31" s="15" cm="1">
        <f t="array" ref="F31">als(E31/1000)</f>
        <v>0.35323357837174441</v>
      </c>
      <c r="G31" s="12">
        <v>1</v>
      </c>
      <c r="H31" s="15">
        <v>0.295416670819377</v>
      </c>
      <c r="I31" s="15">
        <v>5.08308464560994E-2</v>
      </c>
      <c r="J31" s="15">
        <f>SQRT(G31)*ABS(H31/4880)*E31</f>
        <v>7.8152238120454035E-2</v>
      </c>
      <c r="K31" s="15">
        <f t="shared" ref="K31:K32" si="7">ABS(I31/1000)*E31</f>
        <v>6.5622622774824321E-2</v>
      </c>
      <c r="L31" s="15">
        <f t="shared" si="3"/>
        <v>5.08308464560994E-2</v>
      </c>
      <c r="M31" s="15">
        <v>3.0300779091087202</v>
      </c>
      <c r="N31" s="15" cm="1">
        <f t="array" ref="N31">(E31+2*D31-10537-VgB(M31)*1000)/4880</f>
        <v>0.27474162576768396</v>
      </c>
      <c r="O31" s="14">
        <f>(4/3)*F31*(1/3)*(1/2)*E31^3*G31*(H31/4880)^2</f>
        <v>0.61895424960867573</v>
      </c>
    </row>
    <row r="32" spans="1:15" x14ac:dyDescent="0.3">
      <c r="C32" t="s">
        <v>24</v>
      </c>
      <c r="D32">
        <v>10532</v>
      </c>
      <c r="E32">
        <f t="shared" si="6"/>
        <v>993</v>
      </c>
      <c r="F32" s="3" cm="1">
        <f t="array" ref="F32">als(E32/1000)</f>
        <v>0.40823857259604873</v>
      </c>
      <c r="G32" s="7">
        <v>1</v>
      </c>
      <c r="H32" s="3">
        <v>0.87517809793094103</v>
      </c>
      <c r="I32" s="3">
        <v>3.5786800194511899</v>
      </c>
      <c r="J32" s="3">
        <f>SQRT(G32)*ABS(H32/4880)*E32</f>
        <v>0.17808439574701321</v>
      </c>
      <c r="K32" s="47">
        <f t="shared" si="7"/>
        <v>3.5536292593150312</v>
      </c>
      <c r="L32" s="3">
        <f t="shared" si="3"/>
        <v>3.5786800194511894</v>
      </c>
      <c r="M32" s="3">
        <v>3.92262981545097</v>
      </c>
      <c r="N32" s="3" cm="1">
        <f t="array" ref="N32">(E32+2*D32-10537-VgB(M32)*1000)/4880</f>
        <v>0.2927905805857231</v>
      </c>
      <c r="O32" s="8">
        <f>(4/3)*F32*(1/3)*(1/2)*E32^3*G32*(H32/4880)^2</f>
        <v>2.8569491173236741</v>
      </c>
    </row>
    <row r="33" spans="1:15" x14ac:dyDescent="0.3">
      <c r="C33" t="s">
        <v>25</v>
      </c>
      <c r="D33">
        <v>10798</v>
      </c>
      <c r="E33" s="33">
        <f t="shared" si="6"/>
        <v>727</v>
      </c>
      <c r="F33" s="3" cm="1">
        <f t="array" ref="F33">als(E33/1000)</f>
        <v>0.50586122709278236</v>
      </c>
      <c r="G33" s="7">
        <v>1</v>
      </c>
      <c r="H33" s="3">
        <v>-0.33169596521310502</v>
      </c>
      <c r="I33" s="3"/>
      <c r="J33" s="3"/>
      <c r="K33" s="3"/>
      <c r="L33" s="3">
        <f t="shared" si="3"/>
        <v>0</v>
      </c>
      <c r="M33" s="3">
        <v>4.72502535854019</v>
      </c>
      <c r="N33" s="3" cm="1">
        <f t="array" ref="N33">(E33+2*D33-10537-VgB(M33)*1000)/4880</f>
        <v>0.30981822256254066</v>
      </c>
      <c r="O33" s="8"/>
    </row>
    <row r="36" spans="1:15" x14ac:dyDescent="0.3">
      <c r="A36" s="2"/>
      <c r="B36" s="2"/>
    </row>
    <row r="37" spans="1:15" x14ac:dyDescent="0.3">
      <c r="A37" s="2"/>
    </row>
    <row r="38" spans="1:15" x14ac:dyDescent="0.3">
      <c r="A38" s="5"/>
    </row>
  </sheetData>
  <conditionalFormatting sqref="B6">
    <cfRule type="iconSet" priority="16">
      <iconSet iconSet="3Arrows">
        <cfvo type="percent" val="0"/>
        <cfvo type="percent" val="33"/>
        <cfvo type="percent" val="67"/>
      </iconSet>
    </cfRule>
  </conditionalFormatting>
  <conditionalFormatting sqref="B23">
    <cfRule type="iconSet" priority="3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D04D9-3BC5-4DF9-B129-D25EF969CB1A}">
  <sheetPr codeName="Full8">
    <pageSetUpPr fitToPage="1"/>
  </sheetPr>
  <dimension ref="A1:AH36"/>
  <sheetViews>
    <sheetView topLeftCell="A16" workbookViewId="0">
      <selection activeCell="U6" sqref="U6"/>
    </sheetView>
  </sheetViews>
  <sheetFormatPr defaultRowHeight="14.4" x14ac:dyDescent="0.3"/>
  <cols>
    <col min="1" max="1" width="7.33203125" customWidth="1"/>
    <col min="2" max="2" width="6" bestFit="1" customWidth="1"/>
    <col min="3" max="3" width="5.88671875" customWidth="1"/>
    <col min="4" max="4" width="6" bestFit="1" customWidth="1"/>
    <col min="5" max="5" width="6.6640625" customWidth="1"/>
    <col min="6" max="6" width="8.44140625" bestFit="1" customWidth="1"/>
    <col min="7" max="7" width="4" bestFit="1" customWidth="1"/>
    <col min="8" max="8" width="6.21875" bestFit="1" customWidth="1"/>
    <col min="9" max="9" width="8.5546875" bestFit="1" customWidth="1"/>
    <col min="10" max="10" width="11.6640625" bestFit="1" customWidth="1"/>
    <col min="11" max="11" width="9.5546875" bestFit="1" customWidth="1"/>
    <col min="12" max="14" width="8.77734375" customWidth="1"/>
    <col min="15" max="15" width="8.109375" bestFit="1" customWidth="1"/>
    <col min="17" max="17" width="7.44140625" customWidth="1"/>
    <col min="18" max="19" width="5.21875" customWidth="1"/>
    <col min="20" max="20" width="4.77734375" customWidth="1"/>
    <col min="21" max="21" width="4.88671875" customWidth="1"/>
    <col min="22" max="22" width="6.109375" customWidth="1"/>
    <col min="23" max="23" width="4.6640625" customWidth="1"/>
    <col min="24" max="24" width="7.44140625" customWidth="1"/>
    <col min="25" max="25" width="5.6640625" customWidth="1"/>
    <col min="26" max="26" width="7.109375" customWidth="1"/>
    <col min="27" max="27" width="6.33203125" customWidth="1"/>
    <col min="28" max="28" width="5" customWidth="1"/>
    <col min="29" max="29" width="4.6640625" customWidth="1"/>
    <col min="30" max="30" width="5.6640625" customWidth="1"/>
    <col min="31" max="31" width="6.6640625" customWidth="1"/>
    <col min="32" max="32" width="5.6640625" customWidth="1"/>
    <col min="33" max="33" width="6.6640625" customWidth="1"/>
    <col min="34" max="34" width="5.5546875" customWidth="1"/>
  </cols>
  <sheetData>
    <row r="1" spans="1:34" x14ac:dyDescent="0.3">
      <c r="A1" t="s">
        <v>44</v>
      </c>
      <c r="E1" t="s">
        <v>50</v>
      </c>
      <c r="H1" s="40" t="s">
        <v>104</v>
      </c>
      <c r="I1" s="5" t="s">
        <v>102</v>
      </c>
      <c r="J1" s="6" t="s">
        <v>101</v>
      </c>
      <c r="K1" s="5" t="s">
        <v>105</v>
      </c>
      <c r="L1" s="6" t="s">
        <v>101</v>
      </c>
      <c r="M1" s="5" t="s">
        <v>106</v>
      </c>
      <c r="N1" s="6"/>
      <c r="X1" s="21"/>
    </row>
    <row r="2" spans="1:34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4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7</v>
      </c>
      <c r="I3" s="1" t="s">
        <v>64</v>
      </c>
      <c r="J3" s="1" t="s">
        <v>100</v>
      </c>
      <c r="K3" s="1" t="s">
        <v>76</v>
      </c>
      <c r="L3" s="27" t="s">
        <v>73</v>
      </c>
      <c r="M3" s="27" t="s">
        <v>74</v>
      </c>
      <c r="N3" s="27" t="s">
        <v>78</v>
      </c>
      <c r="O3" s="1" t="s">
        <v>38</v>
      </c>
    </row>
    <row r="4" spans="1:34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95</v>
      </c>
      <c r="M4" s="27" t="s">
        <v>95</v>
      </c>
      <c r="N4" s="27"/>
      <c r="O4" s="1" t="s">
        <v>34</v>
      </c>
    </row>
    <row r="5" spans="1:34" x14ac:dyDescent="0.3">
      <c r="A5" s="13" t="s">
        <v>16</v>
      </c>
      <c r="B5" s="13">
        <v>4171</v>
      </c>
      <c r="C5" s="13" t="s">
        <v>20</v>
      </c>
      <c r="D5" s="13">
        <v>3457</v>
      </c>
      <c r="E5" s="38">
        <f>$B$5-D5</f>
        <v>714</v>
      </c>
      <c r="F5" s="15" cm="1">
        <f t="array" ref="F5">als(E5/1000)</f>
        <v>0.51320717523938353</v>
      </c>
      <c r="G5" s="12">
        <v>1</v>
      </c>
      <c r="H5" s="15">
        <v>0.94401564960064999</v>
      </c>
      <c r="I5" s="15">
        <v>3.31811616632982</v>
      </c>
      <c r="J5" s="15">
        <f t="shared" ref="J5:J16" si="0">SQRT(G5)*ABS(H5/1470)*E5</f>
        <v>0.45852188694888713</v>
      </c>
      <c r="K5" s="35">
        <f>ABS(I5/1000)*E5</f>
        <v>2.3691349427594917</v>
      </c>
      <c r="L5" s="50">
        <f>K5/(E5/1000)</f>
        <v>3.3181161663298204</v>
      </c>
      <c r="M5" s="15">
        <v>3.1414552694423699</v>
      </c>
      <c r="N5" s="15" cm="1">
        <f t="array" ref="N5">(E5+2*D5-3712-VgC(M5)*1000)/1470</f>
        <v>0.56665634740269721</v>
      </c>
      <c r="O5" s="12">
        <f t="shared" ref="O5:O16" si="1">(4/3)*F5*(1/3)*(1/2)*E5^3*G5*(H5/1470)^2</f>
        <v>17.119794989244458</v>
      </c>
      <c r="V5" s="3"/>
      <c r="W5" s="7"/>
      <c r="X5" s="3"/>
      <c r="Y5" s="3"/>
      <c r="Z5" s="3"/>
      <c r="AA5" s="3"/>
      <c r="AB5" s="7"/>
      <c r="AC5" s="10"/>
      <c r="AD5" s="10"/>
      <c r="AE5" s="10"/>
      <c r="AF5" s="10"/>
      <c r="AG5" s="10"/>
      <c r="AH5" s="7"/>
    </row>
    <row r="6" spans="1:34" x14ac:dyDescent="0.3">
      <c r="B6" s="2"/>
      <c r="C6" t="s">
        <v>23</v>
      </c>
      <c r="D6">
        <v>3958</v>
      </c>
      <c r="E6" s="33">
        <f>$B$5-D6</f>
        <v>213</v>
      </c>
      <c r="F6" s="3" cm="1">
        <f t="array" ref="F6">als(E6/1000)</f>
        <v>1</v>
      </c>
      <c r="G6" s="7">
        <v>1</v>
      </c>
      <c r="H6" s="3">
        <v>-0.325987950939021</v>
      </c>
      <c r="I6" s="3"/>
      <c r="J6" s="3">
        <f t="shared" si="0"/>
        <v>4.7234988809531614E-2</v>
      </c>
      <c r="K6" s="3"/>
      <c r="L6" s="3">
        <f t="shared" ref="L6:L16" si="2">K6/(E6/1000)</f>
        <v>0</v>
      </c>
      <c r="M6" s="3">
        <v>4.6577871743427401</v>
      </c>
      <c r="N6" s="3" cm="1">
        <f t="array" ref="N6">(E6+2*D6-3712-VgC(M6)*1000)/1470</f>
        <v>0.66877712321372118</v>
      </c>
      <c r="O6" s="9">
        <f t="shared" si="1"/>
        <v>0.10560749061093132</v>
      </c>
    </row>
    <row r="7" spans="1:34" x14ac:dyDescent="0.3">
      <c r="C7" t="s">
        <v>24</v>
      </c>
      <c r="D7">
        <v>4388</v>
      </c>
      <c r="E7" s="33"/>
      <c r="F7" s="3"/>
      <c r="G7" s="7"/>
      <c r="H7" s="3"/>
      <c r="I7" s="3"/>
      <c r="J7" s="3"/>
      <c r="K7" s="3"/>
      <c r="L7" s="3"/>
      <c r="M7" s="3"/>
      <c r="N7" s="3"/>
      <c r="O7" s="9"/>
    </row>
    <row r="8" spans="1:34" x14ac:dyDescent="0.3">
      <c r="C8" t="s">
        <v>25</v>
      </c>
      <c r="D8">
        <v>4774</v>
      </c>
      <c r="E8" s="33"/>
      <c r="F8" s="3"/>
      <c r="G8" s="7"/>
      <c r="H8" s="3"/>
      <c r="I8" s="3"/>
      <c r="J8" s="3"/>
      <c r="K8" s="3"/>
      <c r="L8" s="3"/>
      <c r="M8" s="3"/>
      <c r="N8" s="3"/>
      <c r="O8" s="9"/>
    </row>
    <row r="9" spans="1:34" x14ac:dyDescent="0.3">
      <c r="A9" s="13" t="s">
        <v>17</v>
      </c>
      <c r="B9" s="13">
        <v>4556</v>
      </c>
      <c r="C9" s="13" t="s">
        <v>20</v>
      </c>
      <c r="D9" s="13">
        <v>3457</v>
      </c>
      <c r="E9" s="13">
        <f>$B$9-D9</f>
        <v>1099</v>
      </c>
      <c r="F9" s="15" cm="1">
        <f t="array" ref="F9">als(E9/1000)</f>
        <v>0.38486099840001858</v>
      </c>
      <c r="G9" s="12">
        <v>1</v>
      </c>
      <c r="H9" s="15">
        <v>0.29051309365157102</v>
      </c>
      <c r="I9" s="15">
        <v>0.117715434780598</v>
      </c>
      <c r="J9" s="15">
        <f t="shared" si="0"/>
        <v>0.21719312239665073</v>
      </c>
      <c r="K9" s="15">
        <f>ABS(I9/1000)*E9</f>
        <v>0.1293692628238772</v>
      </c>
      <c r="L9" s="15">
        <f t="shared" si="2"/>
        <v>0.117715434780598</v>
      </c>
      <c r="M9" s="15">
        <v>3.1414552694423699</v>
      </c>
      <c r="N9" s="15" cm="1">
        <f t="array" ref="N9">(E9+2*D9-3712-VgC(M9)*1000)/1470</f>
        <v>0.82856110930745908</v>
      </c>
      <c r="O9" s="12">
        <f t="shared" si="1"/>
        <v>4.4338522655804606</v>
      </c>
      <c r="U9" s="16"/>
    </row>
    <row r="10" spans="1:34" x14ac:dyDescent="0.3">
      <c r="B10" s="2"/>
      <c r="C10" t="s">
        <v>23</v>
      </c>
      <c r="D10">
        <v>3958</v>
      </c>
      <c r="E10" s="33">
        <f>$B$9-D10</f>
        <v>598</v>
      </c>
      <c r="F10" s="3" cm="1">
        <f t="array" ref="F10">als(E10/1000)</f>
        <v>0.60146179818153211</v>
      </c>
      <c r="G10" s="7">
        <v>1</v>
      </c>
      <c r="H10" s="3">
        <v>0.86410890772163995</v>
      </c>
      <c r="I10" s="3"/>
      <c r="J10" s="3">
        <f t="shared" si="0"/>
        <v>0.35152185497791882</v>
      </c>
      <c r="K10" s="3"/>
      <c r="L10" s="3">
        <f t="shared" si="2"/>
        <v>0</v>
      </c>
      <c r="M10" s="3">
        <v>4.6577871743427401</v>
      </c>
      <c r="N10" s="3" cm="1">
        <f t="array" ref="N10">(E10+2*D10-3712-VgC(M10)*1000)/1470</f>
        <v>0.93068188511848304</v>
      </c>
      <c r="O10" s="9">
        <f t="shared" si="1"/>
        <v>9.8764616397840772</v>
      </c>
    </row>
    <row r="11" spans="1:34" x14ac:dyDescent="0.3">
      <c r="C11" t="s">
        <v>24</v>
      </c>
      <c r="D11">
        <v>4388</v>
      </c>
      <c r="E11" s="33">
        <f>$B$9-D11</f>
        <v>168</v>
      </c>
      <c r="F11" s="3" cm="1">
        <f t="array" ref="F11">als(E11/1000)</f>
        <v>1</v>
      </c>
      <c r="G11" s="7">
        <v>1</v>
      </c>
      <c r="H11" s="3">
        <v>-0.40188259865375098</v>
      </c>
      <c r="I11" s="3"/>
      <c r="J11" s="3">
        <f t="shared" si="0"/>
        <v>4.5929439846142971E-2</v>
      </c>
      <c r="K11" s="3"/>
      <c r="L11" s="3">
        <f t="shared" si="2"/>
        <v>0</v>
      </c>
      <c r="M11" s="3">
        <v>5.9690429745204998</v>
      </c>
      <c r="N11" s="3" cm="1">
        <f t="array" ref="N11">(E11+2*D11-3712-VgC(M11)*1000)/1470</f>
        <v>1.0237164700610555</v>
      </c>
      <c r="O11" s="9">
        <f t="shared" si="1"/>
        <v>7.8755168597670719E-2</v>
      </c>
    </row>
    <row r="12" spans="1:34" x14ac:dyDescent="0.3">
      <c r="C12" t="s">
        <v>25</v>
      </c>
      <c r="D12">
        <v>4774</v>
      </c>
      <c r="E12" s="33"/>
      <c r="F12" s="3"/>
      <c r="G12" s="7"/>
      <c r="H12" s="3"/>
      <c r="I12" s="3"/>
      <c r="J12" s="3"/>
      <c r="K12" s="3"/>
      <c r="L12" s="3"/>
      <c r="M12" s="3"/>
      <c r="N12" s="3"/>
      <c r="O12" s="9"/>
    </row>
    <row r="13" spans="1:34" x14ac:dyDescent="0.3">
      <c r="A13" s="13" t="s">
        <v>18</v>
      </c>
      <c r="B13" s="13">
        <v>4912</v>
      </c>
      <c r="C13" s="13" t="s">
        <v>20</v>
      </c>
      <c r="D13" s="13">
        <v>3457</v>
      </c>
      <c r="E13" s="13">
        <f>$B$13-D13</f>
        <v>1455</v>
      </c>
      <c r="F13" s="15" cm="1">
        <f t="array" ref="F13">als(E13/1000)</f>
        <v>0.33317449313432662</v>
      </c>
      <c r="G13" s="12">
        <v>1</v>
      </c>
      <c r="H13" s="15">
        <v>0.12408486625901</v>
      </c>
      <c r="I13" s="15">
        <v>-0.12263426558543999</v>
      </c>
      <c r="J13" s="15">
        <f t="shared" si="0"/>
        <v>0.12281869415432622</v>
      </c>
      <c r="K13" s="15">
        <f>ABS(I13/1000)*E13</f>
        <v>0.1784328564268152</v>
      </c>
      <c r="L13" s="15">
        <f t="shared" si="2"/>
        <v>0.12263426558543999</v>
      </c>
      <c r="M13" s="15">
        <v>3.1414552694423699</v>
      </c>
      <c r="N13" s="15" cm="1">
        <f t="array" ref="N13">(E13+2*D13-3712-VgC(M13)*1000)/1470</f>
        <v>1.0707379800557584</v>
      </c>
      <c r="O13" s="14">
        <f t="shared" si="1"/>
        <v>1.6249918092959896</v>
      </c>
    </row>
    <row r="14" spans="1:34" x14ac:dyDescent="0.3">
      <c r="A14" s="13"/>
      <c r="B14" s="17"/>
      <c r="C14" s="13" t="s">
        <v>23</v>
      </c>
      <c r="D14" s="13">
        <v>3958</v>
      </c>
      <c r="E14" s="13">
        <f>$B$13-D14</f>
        <v>954</v>
      </c>
      <c r="F14" s="15" cm="1">
        <f t="array" ref="F14">als(E14/1000)</f>
        <v>0.41837366965702139</v>
      </c>
      <c r="G14" s="12">
        <v>1</v>
      </c>
      <c r="H14" s="15">
        <v>0.32554347383062499</v>
      </c>
      <c r="I14" s="15">
        <v>0.314152332576002</v>
      </c>
      <c r="J14" s="15">
        <f t="shared" si="0"/>
        <v>0.21127107077171173</v>
      </c>
      <c r="K14" s="15">
        <f>ABS(I14/1000)*E14</f>
        <v>0.29970132527750593</v>
      </c>
      <c r="L14" s="15">
        <f t="shared" si="2"/>
        <v>0.31415233257600206</v>
      </c>
      <c r="M14" s="15">
        <v>4.6577871743427401</v>
      </c>
      <c r="N14" s="15" cm="1">
        <f t="array" ref="N14">(E14+2*D14-3712-VgC(M14)*1000)/1470</f>
        <v>1.1728587558667825</v>
      </c>
      <c r="O14" s="12">
        <f t="shared" si="1"/>
        <v>3.9589523278484009</v>
      </c>
    </row>
    <row r="15" spans="1:34" x14ac:dyDescent="0.3">
      <c r="C15" t="s">
        <v>24</v>
      </c>
      <c r="D15">
        <v>4388</v>
      </c>
      <c r="E15" s="33">
        <f>$B$13-D15</f>
        <v>524</v>
      </c>
      <c r="F15" s="3" cm="1">
        <f t="array" ref="F15">als(E15/1000)</f>
        <v>0.69540193544537199</v>
      </c>
      <c r="G15" s="7">
        <v>1</v>
      </c>
      <c r="H15" s="3">
        <v>0.81871051748963097</v>
      </c>
      <c r="I15" s="3"/>
      <c r="J15" s="3">
        <f t="shared" si="0"/>
        <v>0.29183966745888884</v>
      </c>
      <c r="K15" s="3"/>
      <c r="L15" s="3">
        <f t="shared" si="2"/>
        <v>0</v>
      </c>
      <c r="M15" s="3">
        <v>5.9690429745204998</v>
      </c>
      <c r="N15" s="3" cm="1">
        <f t="array" ref="N15">(E15+2*D15-3712-VgC(M15)*1000)/1470</f>
        <v>1.2658933408093549</v>
      </c>
      <c r="O15" s="9">
        <f t="shared" si="1"/>
        <v>6.8967313931084817</v>
      </c>
    </row>
    <row r="16" spans="1:34" x14ac:dyDescent="0.3">
      <c r="C16" t="s">
        <v>25</v>
      </c>
      <c r="D16">
        <v>4774</v>
      </c>
      <c r="E16" s="33">
        <f>$B$13-D16</f>
        <v>138</v>
      </c>
      <c r="F16" s="3" cm="1">
        <f t="array" ref="F16">als(E16/1000)</f>
        <v>1</v>
      </c>
      <c r="G16" s="7">
        <v>1</v>
      </c>
      <c r="H16" s="3">
        <v>-0.442607891004895</v>
      </c>
      <c r="I16" s="3"/>
      <c r="J16" s="3">
        <f t="shared" si="0"/>
        <v>4.1550944869847284E-2</v>
      </c>
      <c r="K16" s="3"/>
      <c r="L16" s="3">
        <f t="shared" si="2"/>
        <v>0</v>
      </c>
      <c r="M16" s="3">
        <v>7.1525798485286902</v>
      </c>
      <c r="N16" s="3" cm="1">
        <f t="array" ref="N16">(E16+2*D16-3712-VgC(M16)*1000)/1470</f>
        <v>1.350850108250726</v>
      </c>
      <c r="O16" s="9">
        <f t="shared" si="1"/>
        <v>5.2945417933697385E-2</v>
      </c>
    </row>
    <row r="18" spans="1:15" x14ac:dyDescent="0.3">
      <c r="A18" t="s">
        <v>44</v>
      </c>
      <c r="E18" t="s">
        <v>50</v>
      </c>
      <c r="H18" s="40" t="s">
        <v>104</v>
      </c>
      <c r="I18" s="5" t="s">
        <v>102</v>
      </c>
      <c r="J18" s="6" t="s">
        <v>101</v>
      </c>
      <c r="K18" s="5" t="s">
        <v>105</v>
      </c>
      <c r="L18" s="6" t="s">
        <v>101</v>
      </c>
      <c r="M18" s="5" t="s">
        <v>106</v>
      </c>
      <c r="N18" s="6"/>
    </row>
    <row r="19" spans="1:15" x14ac:dyDescent="0.3">
      <c r="A19" s="1" t="s">
        <v>0</v>
      </c>
      <c r="B19" s="1"/>
      <c r="C19" s="1" t="s">
        <v>15</v>
      </c>
      <c r="D19" s="1"/>
      <c r="E19" s="1" t="s">
        <v>1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s="1" t="s">
        <v>31</v>
      </c>
      <c r="B20" s="1" t="s">
        <v>42</v>
      </c>
      <c r="C20" s="1" t="s">
        <v>32</v>
      </c>
      <c r="D20" s="1" t="s">
        <v>33</v>
      </c>
      <c r="E20" s="1" t="s">
        <v>35</v>
      </c>
      <c r="F20" s="1" t="s">
        <v>36</v>
      </c>
      <c r="G20" s="1" t="s">
        <v>49</v>
      </c>
      <c r="H20" s="1" t="s">
        <v>7</v>
      </c>
      <c r="I20" s="1" t="s">
        <v>64</v>
      </c>
      <c r="J20" s="1" t="s">
        <v>100</v>
      </c>
      <c r="K20" s="1" t="s">
        <v>76</v>
      </c>
      <c r="L20" s="27" t="s">
        <v>73</v>
      </c>
      <c r="M20" s="27" t="s">
        <v>74</v>
      </c>
      <c r="N20" s="27" t="s">
        <v>78</v>
      </c>
      <c r="O20" s="1" t="s">
        <v>38</v>
      </c>
    </row>
    <row r="21" spans="1:15" x14ac:dyDescent="0.3">
      <c r="A21" s="1"/>
      <c r="B21" s="1" t="s">
        <v>34</v>
      </c>
      <c r="C21" s="1"/>
      <c r="D21" s="1" t="s">
        <v>34</v>
      </c>
      <c r="E21" s="1" t="s">
        <v>34</v>
      </c>
      <c r="F21" s="1"/>
      <c r="G21" s="1"/>
      <c r="H21" s="1" t="s">
        <v>37</v>
      </c>
      <c r="I21" s="1"/>
      <c r="J21" s="1"/>
      <c r="K21" s="1"/>
      <c r="L21" s="27" t="s">
        <v>95</v>
      </c>
      <c r="M21" s="27" t="s">
        <v>95</v>
      </c>
      <c r="N21" s="27"/>
      <c r="O21" s="1" t="s">
        <v>34</v>
      </c>
    </row>
    <row r="22" spans="1:15" x14ac:dyDescent="0.3">
      <c r="A22" s="13" t="s">
        <v>16</v>
      </c>
      <c r="B22" s="13">
        <v>10772</v>
      </c>
      <c r="C22" s="13" t="s">
        <v>20</v>
      </c>
      <c r="D22" s="13">
        <v>9879</v>
      </c>
      <c r="E22" s="13">
        <f>$B$22-D22</f>
        <v>893</v>
      </c>
      <c r="F22" s="15" cm="1">
        <f t="array" ref="F22">als(E22/1000)</f>
        <v>0.43638353429254639</v>
      </c>
      <c r="G22" s="12">
        <v>1</v>
      </c>
      <c r="H22" s="15">
        <v>0.84717278201390001</v>
      </c>
      <c r="I22" s="15">
        <v>2.0292795616359598</v>
      </c>
      <c r="J22" s="50">
        <f t="shared" ref="J22:J33" si="3">SQRT(G22)*ABS(H22/4880)*E22</f>
        <v>0.15502567506934686</v>
      </c>
      <c r="K22" s="35">
        <f>ABS(I22/1000)*E22</f>
        <v>1.8121466485409119</v>
      </c>
      <c r="L22" s="50">
        <f>K22/(E22/1000)</f>
        <v>2.0292795616359594</v>
      </c>
      <c r="M22" s="15">
        <v>1.9846116902480599</v>
      </c>
      <c r="N22" s="15" cm="1">
        <f t="array" ref="N22">(E22+2*D22-10537-VgB(M22)*1000)/4880</f>
        <v>0.10230306234983778</v>
      </c>
      <c r="O22" s="14">
        <f t="shared" ref="O22:O33" si="4">(4/3)*F22*(1/3)*(1/2)*E22^3*G22*(H22/4880)^2</f>
        <v>2.0812035730460305</v>
      </c>
    </row>
    <row r="23" spans="1:15" x14ac:dyDescent="0.3">
      <c r="B23" s="2"/>
      <c r="C23" t="s">
        <v>23</v>
      </c>
      <c r="D23">
        <v>10234</v>
      </c>
      <c r="E23" s="33">
        <f t="shared" ref="E23:E24" si="5">$B$22-D23</f>
        <v>538</v>
      </c>
      <c r="F23" s="3" cm="1">
        <f t="array" ref="F23">als(E23/1000)</f>
        <v>0.67396645729412075</v>
      </c>
      <c r="G23" s="7">
        <v>1</v>
      </c>
      <c r="H23" s="3">
        <v>-0.52509786103993805</v>
      </c>
      <c r="I23" s="3"/>
      <c r="J23" s="3">
        <f t="shared" si="3"/>
        <v>5.7889887139239073E-2</v>
      </c>
      <c r="K23" s="3"/>
      <c r="L23" s="3">
        <f t="shared" ref="L23:L33" si="6">K23/(E23/1000)</f>
        <v>0</v>
      </c>
      <c r="M23" s="3">
        <v>3.0300779091087202</v>
      </c>
      <c r="N23" s="3" cm="1">
        <f t="array" ref="N23">(E23+2*D23-10537-VgB(M23)*1000)/4880</f>
        <v>0.12043834707915937</v>
      </c>
      <c r="O23" s="8">
        <f t="shared" si="4"/>
        <v>0.27003089152302123</v>
      </c>
    </row>
    <row r="24" spans="1:15" x14ac:dyDescent="0.3">
      <c r="C24" t="s">
        <v>24</v>
      </c>
      <c r="D24">
        <v>10532</v>
      </c>
      <c r="E24" s="33">
        <f t="shared" si="5"/>
        <v>240</v>
      </c>
      <c r="F24" s="3" cm="1">
        <f t="array" ref="F24">als(E24/1000)</f>
        <v>1</v>
      </c>
      <c r="G24" s="7">
        <v>1</v>
      </c>
      <c r="H24" s="3">
        <v>6.3390771672306001E-2</v>
      </c>
      <c r="I24" s="3"/>
      <c r="J24" s="3">
        <f t="shared" si="3"/>
        <v>3.1175789347035738E-3</v>
      </c>
      <c r="K24" s="3"/>
      <c r="L24" s="3">
        <f t="shared" si="6"/>
        <v>0</v>
      </c>
      <c r="M24" s="3">
        <v>3.92262981545097</v>
      </c>
      <c r="N24" s="3" cm="1">
        <f t="array" ref="N24">(E24+2*D24-10537-VgB(M24)*1000)/4880</f>
        <v>0.13848730189719852</v>
      </c>
      <c r="O24" s="8">
        <f t="shared" si="4"/>
        <v>5.1836258208573169E-4</v>
      </c>
    </row>
    <row r="25" spans="1:15" x14ac:dyDescent="0.3">
      <c r="C25" t="s">
        <v>25</v>
      </c>
      <c r="D25">
        <v>10798</v>
      </c>
      <c r="E25" s="33"/>
      <c r="F25" s="3"/>
      <c r="G25" s="7"/>
      <c r="H25" s="3"/>
      <c r="I25" s="3"/>
      <c r="J25" s="3"/>
      <c r="K25" s="3"/>
      <c r="L25" s="3"/>
      <c r="M25" s="3"/>
      <c r="N25" s="3"/>
      <c r="O25" s="8"/>
    </row>
    <row r="26" spans="1:15" x14ac:dyDescent="0.3">
      <c r="A26" s="13" t="s">
        <v>17</v>
      </c>
      <c r="B26" s="13">
        <v>10995</v>
      </c>
      <c r="C26" s="13" t="s">
        <v>20</v>
      </c>
      <c r="D26" s="13">
        <v>9879</v>
      </c>
      <c r="E26" s="13">
        <f>$B$26-D26</f>
        <v>1116</v>
      </c>
      <c r="F26" s="15" cm="1">
        <f t="array" ref="F26">als(E26/1000)</f>
        <v>0.38157787661505249</v>
      </c>
      <c r="G26" s="12">
        <v>1</v>
      </c>
      <c r="H26" s="15">
        <v>0.43750548612972801</v>
      </c>
      <c r="I26" s="15">
        <v>0.55250045209477205</v>
      </c>
      <c r="J26" s="15">
        <f t="shared" si="3"/>
        <v>0.10005248412310994</v>
      </c>
      <c r="K26" s="15">
        <f>ABS(I26/1000)*E26</f>
        <v>0.61659050453776554</v>
      </c>
      <c r="L26" s="15">
        <f t="shared" si="6"/>
        <v>0.55250045209477194</v>
      </c>
      <c r="M26" s="15">
        <v>1.9846116902480599</v>
      </c>
      <c r="N26" s="15" cm="1">
        <f t="array" ref="N26">(E26+2*D26-10537-VgB(M26)*1000)/4880</f>
        <v>0.14799978366131319</v>
      </c>
      <c r="O26" s="14">
        <f t="shared" si="4"/>
        <v>0.94730672297566765</v>
      </c>
    </row>
    <row r="27" spans="1:15" x14ac:dyDescent="0.3">
      <c r="B27" s="2"/>
      <c r="C27" t="s">
        <v>23</v>
      </c>
      <c r="D27">
        <v>10234</v>
      </c>
      <c r="E27" s="33">
        <f>$B$26-D27</f>
        <v>761</v>
      </c>
      <c r="F27" s="3" cm="1">
        <f t="array" ref="F27">als(E27/1000)</f>
        <v>0.48829249406794234</v>
      </c>
      <c r="G27" s="7">
        <v>1</v>
      </c>
      <c r="H27" s="3">
        <v>0.62999389437046205</v>
      </c>
      <c r="I27" s="3"/>
      <c r="J27" s="3">
        <f t="shared" si="3"/>
        <v>9.8242900331131491E-2</v>
      </c>
      <c r="K27" s="3"/>
      <c r="L27" s="3">
        <f t="shared" si="6"/>
        <v>0</v>
      </c>
      <c r="M27" s="3">
        <v>3.0300779091087202</v>
      </c>
      <c r="N27" s="3" cm="1">
        <f t="array" ref="N27">(E27+2*D27-10537-VgB(M27)*1000)/4880</f>
        <v>0.16613506839063477</v>
      </c>
      <c r="O27" s="8">
        <f t="shared" si="4"/>
        <v>0.79699306411943704</v>
      </c>
    </row>
    <row r="28" spans="1:15" x14ac:dyDescent="0.3">
      <c r="C28" t="s">
        <v>24</v>
      </c>
      <c r="D28">
        <v>10532</v>
      </c>
      <c r="E28" s="33">
        <f>$B$26-D28</f>
        <v>463</v>
      </c>
      <c r="F28" s="3" cm="1">
        <f t="array" ref="F28">als(E28/1000)</f>
        <v>0.82155395653179231</v>
      </c>
      <c r="G28" s="7">
        <v>1</v>
      </c>
      <c r="H28" s="3">
        <v>-0.62983123881818803</v>
      </c>
      <c r="I28" s="3"/>
      <c r="J28" s="3">
        <f t="shared" si="3"/>
        <v>5.9756529420660051E-2</v>
      </c>
      <c r="K28" s="3"/>
      <c r="L28" s="3">
        <f t="shared" si="6"/>
        <v>0</v>
      </c>
      <c r="M28" s="3">
        <v>3.92262981545097</v>
      </c>
      <c r="N28" s="3" cm="1">
        <f t="array" ref="N28">(E28+2*D28-10537-VgB(M28)*1000)/4880</f>
        <v>0.18418402320867394</v>
      </c>
      <c r="O28" s="8">
        <f t="shared" si="4"/>
        <v>0.30183896384762599</v>
      </c>
    </row>
    <row r="29" spans="1:15" x14ac:dyDescent="0.3">
      <c r="C29" t="s">
        <v>25</v>
      </c>
      <c r="D29">
        <v>10798</v>
      </c>
      <c r="E29" s="33">
        <f>$B$26-D29</f>
        <v>197</v>
      </c>
      <c r="F29" s="3" cm="1">
        <f t="array" ref="F29">als(E29/1000)</f>
        <v>1</v>
      </c>
      <c r="G29" s="7">
        <v>1</v>
      </c>
      <c r="H29" s="3">
        <v>8.7395591360588706E-2</v>
      </c>
      <c r="I29" s="3"/>
      <c r="J29" s="3">
        <f t="shared" si="3"/>
        <v>3.528059733204093E-3</v>
      </c>
      <c r="K29" s="3"/>
      <c r="L29" s="3">
        <f t="shared" si="6"/>
        <v>0</v>
      </c>
      <c r="M29" s="3">
        <v>4.72502535854019</v>
      </c>
      <c r="N29" s="3" cm="1">
        <f t="array" ref="N29">(E29+2*D29-10537-VgB(M29)*1000)/4880</f>
        <v>0.2012116651854915</v>
      </c>
      <c r="O29" s="8">
        <f t="shared" si="4"/>
        <v>5.4491099550401311E-4</v>
      </c>
    </row>
    <row r="30" spans="1:15" x14ac:dyDescent="0.3">
      <c r="A30" s="13" t="s">
        <v>18</v>
      </c>
      <c r="B30" s="13">
        <v>11209</v>
      </c>
      <c r="C30" s="13" t="s">
        <v>20</v>
      </c>
      <c r="D30" s="13">
        <v>9879</v>
      </c>
      <c r="E30" s="13">
        <f>$B$30-D30</f>
        <v>1330</v>
      </c>
      <c r="F30" s="15" cm="1">
        <f t="array" ref="F30">als(E30/1000)</f>
        <v>0.34799842113136747</v>
      </c>
      <c r="G30" s="12">
        <v>1</v>
      </c>
      <c r="H30" s="15">
        <v>0.234857684181874</v>
      </c>
      <c r="I30" s="15">
        <v>0.126195222110114</v>
      </c>
      <c r="J30" s="15">
        <f t="shared" si="3"/>
        <v>6.4008344254486149E-2</v>
      </c>
      <c r="K30" s="15">
        <f>ABS(I30/1000)*E30</f>
        <v>0.16783964540645163</v>
      </c>
      <c r="L30" s="15">
        <f t="shared" si="6"/>
        <v>0.126195222110114</v>
      </c>
      <c r="M30" s="15">
        <v>1.9846116902480599</v>
      </c>
      <c r="N30" s="15" cm="1">
        <f t="array" ref="N30">(E30+2*D30-10537-VgB(M30)*1000)/4880</f>
        <v>0.19185224267770662</v>
      </c>
      <c r="O30" s="14">
        <f t="shared" si="4"/>
        <v>0.42139520262654678</v>
      </c>
    </row>
    <row r="31" spans="1:15" x14ac:dyDescent="0.3">
      <c r="A31" s="13"/>
      <c r="B31" s="17"/>
      <c r="C31" s="13" t="s">
        <v>23</v>
      </c>
      <c r="D31" s="13">
        <v>10234</v>
      </c>
      <c r="E31" s="13">
        <f>$B$30-D31</f>
        <v>975</v>
      </c>
      <c r="F31" s="15" cm="1">
        <f t="array" ref="F31">als(E31/1000)</f>
        <v>0.41279711872026648</v>
      </c>
      <c r="G31" s="12">
        <v>1</v>
      </c>
      <c r="H31" s="15">
        <v>0.44077144471732699</v>
      </c>
      <c r="I31" s="15">
        <v>0.83847373639290201</v>
      </c>
      <c r="J31" s="15">
        <f t="shared" si="3"/>
        <v>8.8063966926105283E-2</v>
      </c>
      <c r="K31" s="15">
        <f>ABS(I31/1000)*E31</f>
        <v>0.81751189298307947</v>
      </c>
      <c r="L31" s="15">
        <f t="shared" si="6"/>
        <v>0.83847373639290201</v>
      </c>
      <c r="M31" s="15">
        <v>3.0300779091087202</v>
      </c>
      <c r="N31" s="15" cm="1">
        <f t="array" ref="N31">(E31+2*D31-10537-VgB(M31)*1000)/4880</f>
        <v>0.20998752740702822</v>
      </c>
      <c r="O31" s="14">
        <f t="shared" si="4"/>
        <v>0.69362581606296614</v>
      </c>
    </row>
    <row r="32" spans="1:15" x14ac:dyDescent="0.3">
      <c r="C32" t="s">
        <v>24</v>
      </c>
      <c r="D32">
        <v>10532</v>
      </c>
      <c r="E32" s="33">
        <f>$B$30-D32</f>
        <v>677</v>
      </c>
      <c r="F32" s="3" cm="1">
        <f t="array" ref="F32">als(E32/1000)</f>
        <v>0.53639447178445043</v>
      </c>
      <c r="G32" s="7">
        <v>1</v>
      </c>
      <c r="H32" s="3">
        <v>0.51214257761385196</v>
      </c>
      <c r="I32" s="3"/>
      <c r="J32" s="3">
        <f t="shared" si="3"/>
        <v>7.104928791897086E-2</v>
      </c>
      <c r="K32" s="3"/>
      <c r="L32" s="3">
        <f t="shared" si="6"/>
        <v>0</v>
      </c>
      <c r="M32" s="3">
        <v>3.92262981545097</v>
      </c>
      <c r="N32" s="3" cm="1">
        <f t="array" ref="N32">(E32+2*D32-10537-VgB(M32)*1000)/4880</f>
        <v>0.22803648222506737</v>
      </c>
      <c r="O32" s="8">
        <f t="shared" si="4"/>
        <v>0.40736143085221282</v>
      </c>
    </row>
    <row r="33" spans="1:15" x14ac:dyDescent="0.3">
      <c r="C33" t="s">
        <v>25</v>
      </c>
      <c r="D33">
        <v>10798</v>
      </c>
      <c r="E33" s="33">
        <f>$B$30-D33</f>
        <v>411</v>
      </c>
      <c r="F33" s="3" cm="1">
        <f t="array" ref="F33">als(E33/1000)</f>
        <v>1</v>
      </c>
      <c r="G33" s="7">
        <v>1</v>
      </c>
      <c r="H33" s="3">
        <v>-0.68143587043762299</v>
      </c>
      <c r="I33" s="3"/>
      <c r="J33" s="3">
        <f t="shared" si="3"/>
        <v>5.7391422694644069E-2</v>
      </c>
      <c r="K33" s="3"/>
      <c r="L33" s="3">
        <f t="shared" si="6"/>
        <v>0</v>
      </c>
      <c r="M33" s="3">
        <v>4.72502535854019</v>
      </c>
      <c r="N33" s="3" cm="1">
        <f t="array" ref="N33">(E33+2*D33-10537-VgB(M33)*1000)/4880</f>
        <v>0.24506412420188495</v>
      </c>
      <c r="O33" s="8">
        <f t="shared" si="4"/>
        <v>0.30083148643426466</v>
      </c>
    </row>
    <row r="35" spans="1:15" x14ac:dyDescent="0.3">
      <c r="A35" s="2"/>
      <c r="B35" s="2"/>
    </row>
    <row r="36" spans="1:15" x14ac:dyDescent="0.3">
      <c r="A36" s="2"/>
    </row>
  </sheetData>
  <conditionalFormatting sqref="B6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B23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8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E9836-964A-4D59-A87E-FBB44D5842DC}">
  <sheetPr codeName="Full9">
    <pageSetUpPr fitToPage="1"/>
  </sheetPr>
  <dimension ref="A1:AK68"/>
  <sheetViews>
    <sheetView topLeftCell="A37" zoomScale="85" zoomScaleNormal="85" workbookViewId="0">
      <selection activeCell="V53" sqref="V53"/>
    </sheetView>
  </sheetViews>
  <sheetFormatPr defaultRowHeight="14.4" x14ac:dyDescent="0.3"/>
  <cols>
    <col min="1" max="1" width="9.77734375" customWidth="1"/>
    <col min="2" max="2" width="6" bestFit="1" customWidth="1"/>
    <col min="3" max="3" width="5.44140625" customWidth="1"/>
    <col min="4" max="5" width="6" bestFit="1" customWidth="1"/>
    <col min="6" max="6" width="5.44140625" customWidth="1"/>
    <col min="7" max="7" width="3.21875" customWidth="1"/>
    <col min="8" max="8" width="6.6640625" customWidth="1"/>
    <col min="9" max="9" width="6.21875" customWidth="1"/>
    <col min="10" max="10" width="8.88671875" bestFit="1" customWidth="1"/>
    <col min="11" max="11" width="7" customWidth="1"/>
    <col min="12" max="12" width="12.109375" bestFit="1" customWidth="1"/>
    <col min="13" max="13" width="9.77734375" bestFit="1" customWidth="1"/>
    <col min="14" max="15" width="7.21875" bestFit="1" customWidth="1"/>
    <col min="16" max="16" width="8.109375" bestFit="1" customWidth="1"/>
    <col min="17" max="17" width="8.21875" bestFit="1" customWidth="1"/>
    <col min="19" max="19" width="6.21875" customWidth="1"/>
    <col min="20" max="20" width="5" customWidth="1"/>
    <col min="21" max="21" width="5.88671875" customWidth="1"/>
    <col min="22" max="22" width="5" customWidth="1"/>
    <col min="23" max="23" width="6.109375" customWidth="1"/>
    <col min="24" max="24" width="4.44140625" customWidth="1"/>
    <col min="25" max="25" width="5.33203125" customWidth="1"/>
    <col min="26" max="26" width="5.5546875" customWidth="1"/>
    <col min="27" max="27" width="4.88671875" customWidth="1"/>
    <col min="28" max="28" width="5" customWidth="1"/>
    <col min="29" max="29" width="6" customWidth="1"/>
    <col min="30" max="30" width="5.88671875" customWidth="1"/>
    <col min="31" max="31" width="5.21875" customWidth="1"/>
    <col min="32" max="32" width="5.109375" customWidth="1"/>
    <col min="33" max="33" width="5.5546875" bestFit="1" customWidth="1"/>
    <col min="34" max="34" width="6.21875" bestFit="1" customWidth="1"/>
    <col min="35" max="35" width="5.109375" customWidth="1"/>
    <col min="36" max="36" width="5.44140625" bestFit="1" customWidth="1"/>
    <col min="37" max="37" width="5.109375" bestFit="1" customWidth="1"/>
  </cols>
  <sheetData>
    <row r="1" spans="1:37" x14ac:dyDescent="0.3">
      <c r="A1" t="s">
        <v>51</v>
      </c>
      <c r="E1" t="s">
        <v>50</v>
      </c>
      <c r="I1" s="40" t="s">
        <v>104</v>
      </c>
      <c r="J1" s="5" t="s">
        <v>102</v>
      </c>
      <c r="K1" s="6" t="s">
        <v>101</v>
      </c>
      <c r="L1" s="5" t="s">
        <v>105</v>
      </c>
      <c r="M1" s="6" t="s">
        <v>101</v>
      </c>
      <c r="N1" s="5" t="s">
        <v>106</v>
      </c>
      <c r="O1" s="6"/>
      <c r="AA1" s="21"/>
    </row>
    <row r="2" spans="1:37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37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39</v>
      </c>
      <c r="G3" s="1" t="s">
        <v>52</v>
      </c>
      <c r="H3" s="1" t="s">
        <v>21</v>
      </c>
      <c r="I3" s="1" t="s">
        <v>22</v>
      </c>
      <c r="J3" s="1" t="s">
        <v>65</v>
      </c>
      <c r="K3" s="1" t="s">
        <v>66</v>
      </c>
      <c r="L3" s="1" t="s">
        <v>100</v>
      </c>
      <c r="M3" s="1" t="s">
        <v>76</v>
      </c>
      <c r="N3" s="27" t="s">
        <v>73</v>
      </c>
      <c r="O3" s="27" t="s">
        <v>74</v>
      </c>
      <c r="P3" s="27" t="s">
        <v>78</v>
      </c>
      <c r="Q3" s="1" t="s">
        <v>38</v>
      </c>
    </row>
    <row r="4" spans="1:37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 t="s">
        <v>37</v>
      </c>
      <c r="J4" s="1"/>
      <c r="K4" s="1"/>
      <c r="L4" s="1"/>
      <c r="M4" s="1"/>
      <c r="N4" s="27" t="s">
        <v>95</v>
      </c>
      <c r="O4" s="27" t="s">
        <v>95</v>
      </c>
      <c r="P4" s="27"/>
      <c r="Q4" s="1" t="s">
        <v>34</v>
      </c>
    </row>
    <row r="5" spans="1:37" x14ac:dyDescent="0.3">
      <c r="A5" t="s">
        <v>19</v>
      </c>
      <c r="B5">
        <v>4028</v>
      </c>
      <c r="C5" t="s">
        <v>3</v>
      </c>
      <c r="D5">
        <v>3068</v>
      </c>
      <c r="E5">
        <f t="shared" ref="E5:E9" si="0">$B$5-D5</f>
        <v>960</v>
      </c>
      <c r="F5" s="10" cm="1">
        <f t="array" ref="F5">als(E5/1000)</f>
        <v>0.41675073100517551</v>
      </c>
      <c r="G5" s="7">
        <v>1</v>
      </c>
      <c r="H5" s="10"/>
      <c r="I5" s="10">
        <v>-0.90838566590626002</v>
      </c>
      <c r="J5" s="10"/>
      <c r="K5" s="10">
        <v>-2.2072401611807901</v>
      </c>
      <c r="L5" s="10">
        <f>ABS(SQRT(G5)*I5/1470)*E5</f>
        <v>0.59323145528572085</v>
      </c>
      <c r="M5" s="31">
        <f>ABS(K5/1000)*E5</f>
        <v>2.1189505547335585</v>
      </c>
      <c r="N5" s="3">
        <f>M5/(E5/1000)</f>
        <v>2.2072401611807901</v>
      </c>
      <c r="O5" s="10">
        <v>2.0555394826094102</v>
      </c>
      <c r="P5" s="3" cm="1">
        <f t="array" ref="P5">(E5+2*D5-3712-VgC(O5)*1000)/1470</f>
        <v>0.39103175575211291</v>
      </c>
      <c r="Q5" s="9">
        <f>(4/3)*F5*(1/3)*(1/2)*E5^3*G5*(I5/1470)^2</f>
        <v>31.288405481901009</v>
      </c>
      <c r="W5" s="10"/>
      <c r="X5" s="10"/>
      <c r="Y5" s="10"/>
      <c r="Z5" s="10"/>
      <c r="AA5" s="10"/>
      <c r="AB5" s="10"/>
      <c r="AC5" s="10"/>
      <c r="AD5" s="10"/>
      <c r="AE5" s="7"/>
      <c r="AF5" s="10"/>
      <c r="AG5" s="10"/>
      <c r="AH5" s="10"/>
      <c r="AI5" s="10"/>
      <c r="AJ5" s="10"/>
      <c r="AK5" s="7"/>
    </row>
    <row r="6" spans="1:37" x14ac:dyDescent="0.3">
      <c r="B6" s="2"/>
      <c r="C6" t="s">
        <v>4</v>
      </c>
      <c r="D6">
        <v>3674</v>
      </c>
      <c r="E6" s="33">
        <f t="shared" si="0"/>
        <v>354</v>
      </c>
      <c r="F6" s="10" cm="1">
        <f t="array" ref="F6">als(E6/1000)</f>
        <v>1</v>
      </c>
      <c r="G6" s="7">
        <v>1</v>
      </c>
      <c r="H6" s="10"/>
      <c r="I6" s="10">
        <v>0.36723779660428701</v>
      </c>
      <c r="J6" s="10"/>
      <c r="K6" s="10"/>
      <c r="L6" s="10">
        <f>ABS(SQRT(G6)*I6/1470)*E6</f>
        <v>8.8436857141440547E-2</v>
      </c>
      <c r="M6" s="10"/>
      <c r="N6" s="3">
        <f t="shared" ref="N6:N27" si="1">M6/(E6/1000)</f>
        <v>0</v>
      </c>
      <c r="O6" s="10">
        <v>3.83841691381935</v>
      </c>
      <c r="P6" s="3" cm="1">
        <f t="array" ref="P6">(E6+2*D6-3712-VgC(O6)*1000)/1470</f>
        <v>0.50562322485194411</v>
      </c>
      <c r="Q6" s="9">
        <f>(4/3)*F6*(1/3)*(1/2)*E6^3*G6*(I6/1470)^2</f>
        <v>0.61525811248303774</v>
      </c>
      <c r="W6" s="10"/>
      <c r="X6" s="10"/>
      <c r="Y6" s="10"/>
      <c r="Z6" s="10"/>
      <c r="AA6" s="10"/>
      <c r="AB6" s="10"/>
      <c r="AC6" s="10"/>
      <c r="AD6" s="10"/>
      <c r="AE6" s="7"/>
      <c r="AF6" s="10"/>
      <c r="AG6" s="10"/>
      <c r="AH6" s="10"/>
      <c r="AI6" s="10"/>
      <c r="AJ6" s="10"/>
      <c r="AK6" s="7"/>
    </row>
    <row r="7" spans="1:37" x14ac:dyDescent="0.3">
      <c r="C7" t="s">
        <v>5</v>
      </c>
      <c r="D7">
        <v>4149</v>
      </c>
      <c r="E7" s="33"/>
      <c r="F7" s="10"/>
      <c r="G7" s="7"/>
      <c r="H7" s="10"/>
      <c r="I7" s="10"/>
      <c r="J7" s="10"/>
      <c r="K7" s="10"/>
      <c r="L7" s="10"/>
      <c r="M7" s="10"/>
      <c r="N7" s="3"/>
      <c r="O7" s="10"/>
      <c r="P7" s="3"/>
      <c r="Q7" s="9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</row>
    <row r="8" spans="1:37" x14ac:dyDescent="0.3">
      <c r="C8" t="s">
        <v>6</v>
      </c>
      <c r="D8">
        <v>4562</v>
      </c>
      <c r="E8" s="33"/>
      <c r="F8" s="10"/>
      <c r="G8" s="7"/>
      <c r="H8" s="10"/>
      <c r="I8" s="10"/>
      <c r="J8" s="10"/>
      <c r="K8" s="10"/>
      <c r="L8" s="10"/>
      <c r="M8" s="10"/>
      <c r="N8" s="3"/>
      <c r="O8" s="10"/>
      <c r="P8" s="3"/>
      <c r="Q8" s="9"/>
      <c r="W8" s="10"/>
      <c r="X8" s="10"/>
      <c r="Y8" s="10"/>
      <c r="Z8" s="10"/>
      <c r="AA8" s="10"/>
      <c r="AB8" s="10"/>
      <c r="AC8" s="10"/>
      <c r="AD8" s="10"/>
      <c r="AE8" s="7"/>
      <c r="AF8" s="10"/>
      <c r="AG8" s="10"/>
      <c r="AH8" s="10"/>
      <c r="AI8" s="10"/>
      <c r="AJ8" s="10"/>
      <c r="AK8" s="7"/>
    </row>
    <row r="9" spans="1:37" x14ac:dyDescent="0.3">
      <c r="C9" t="s">
        <v>8</v>
      </c>
      <c r="D9">
        <v>3762</v>
      </c>
      <c r="E9" s="33">
        <f t="shared" si="0"/>
        <v>266</v>
      </c>
      <c r="F9" s="10" cm="1">
        <f t="array" ref="F9">als(E9/1000)</f>
        <v>1</v>
      </c>
      <c r="G9" s="7">
        <v>1</v>
      </c>
      <c r="H9" s="10">
        <v>-0.19343003949291199</v>
      </c>
      <c r="I9" s="10"/>
      <c r="J9" s="10"/>
      <c r="K9" s="10"/>
      <c r="L9" s="10">
        <f>ABS(SQRT(G9)*H9/1470)*E9</f>
        <v>3.5001626193955505E-2</v>
      </c>
      <c r="M9" s="10"/>
      <c r="N9" s="3">
        <f t="shared" si="1"/>
        <v>0</v>
      </c>
      <c r="O9" s="10">
        <v>4.04512267054809</v>
      </c>
      <c r="P9" s="3" cm="1">
        <f t="array" ref="P9">(E9+2*D9-3712-VgC(O9)*1000)/1470</f>
        <v>0.53308118082463063</v>
      </c>
      <c r="Q9" s="9">
        <f>(4/3)*F9*(1/3)*(1/2)*E9^3*G9*(H9/1470)^2</f>
        <v>7.2417840096642289E-2</v>
      </c>
      <c r="W9" s="10"/>
      <c r="X9" s="10"/>
      <c r="Y9" s="10"/>
      <c r="Z9" s="10"/>
      <c r="AA9" s="10"/>
      <c r="AB9" s="10"/>
      <c r="AC9" s="10"/>
      <c r="AD9" s="10"/>
      <c r="AE9" s="7"/>
      <c r="AF9" s="10"/>
      <c r="AG9" s="10"/>
      <c r="AH9" s="10"/>
      <c r="AI9" s="10"/>
      <c r="AJ9" s="10"/>
      <c r="AK9" s="7"/>
    </row>
    <row r="10" spans="1:37" x14ac:dyDescent="0.3">
      <c r="C10" t="s">
        <v>9</v>
      </c>
      <c r="D10">
        <v>4209</v>
      </c>
      <c r="E10" s="33"/>
      <c r="F10" s="10"/>
      <c r="G10" s="7"/>
      <c r="H10" s="10"/>
      <c r="I10" s="10"/>
      <c r="J10" s="10"/>
      <c r="K10" s="10"/>
      <c r="L10" s="10"/>
      <c r="M10" s="10"/>
      <c r="N10" s="3"/>
      <c r="O10" s="10"/>
      <c r="P10" s="3"/>
      <c r="Q10" s="9"/>
    </row>
    <row r="11" spans="1:37" x14ac:dyDescent="0.3">
      <c r="C11" t="s">
        <v>10</v>
      </c>
      <c r="D11">
        <v>4608</v>
      </c>
      <c r="E11" s="33"/>
      <c r="F11" s="10"/>
      <c r="G11" s="7"/>
      <c r="H11" s="10"/>
      <c r="I11" s="10"/>
      <c r="J11" s="10"/>
      <c r="K11" s="10"/>
      <c r="L11" s="10"/>
      <c r="M11" s="10"/>
      <c r="N11" s="3"/>
      <c r="O11" s="10"/>
      <c r="P11" s="3"/>
      <c r="Q11" s="9"/>
    </row>
    <row r="12" spans="1:37" x14ac:dyDescent="0.3">
      <c r="C12" t="s">
        <v>11</v>
      </c>
      <c r="D12">
        <v>4974</v>
      </c>
      <c r="E12" s="33"/>
      <c r="F12" s="10"/>
      <c r="G12" s="7"/>
      <c r="H12" s="10"/>
      <c r="I12" s="10"/>
      <c r="J12" s="10"/>
      <c r="K12" s="10"/>
      <c r="L12" s="10"/>
      <c r="M12" s="10"/>
      <c r="N12" s="3"/>
      <c r="O12" s="10"/>
      <c r="P12" s="3"/>
      <c r="Q12" s="9"/>
      <c r="W12" s="16"/>
    </row>
    <row r="13" spans="1:37" x14ac:dyDescent="0.3">
      <c r="A13" s="13" t="s">
        <v>30</v>
      </c>
      <c r="B13" s="13">
        <v>4394</v>
      </c>
      <c r="C13" s="13" t="s">
        <v>3</v>
      </c>
      <c r="D13" s="13">
        <v>3068</v>
      </c>
      <c r="E13" s="13">
        <f t="shared" ref="E13:E18" si="2">$B$13-D13</f>
        <v>1326</v>
      </c>
      <c r="F13" s="11" cm="1">
        <f t="array" ref="F13">als(E13/1000)</f>
        <v>0.34852052664805511</v>
      </c>
      <c r="G13" s="12">
        <v>1</v>
      </c>
      <c r="H13" s="11"/>
      <c r="I13" s="11">
        <v>-0.36099782459252899</v>
      </c>
      <c r="J13" s="11"/>
      <c r="K13" s="11">
        <v>-0.245959982062324</v>
      </c>
      <c r="L13" s="11">
        <f>ABS(SQRT(G13)*I13/1470)*E13</f>
        <v>0.32563477238754651</v>
      </c>
      <c r="M13" s="11">
        <f>ABS(K13/1000)*E13</f>
        <v>0.32614293621464163</v>
      </c>
      <c r="N13" s="15">
        <f t="shared" si="1"/>
        <v>0.245959982062324</v>
      </c>
      <c r="O13" s="11">
        <v>2.0555394826094102</v>
      </c>
      <c r="P13" s="15" cm="1">
        <f t="array" ref="P13">(E13+2*D13-3712-VgC(O13)*1000)/1470</f>
        <v>0.64001134758884759</v>
      </c>
      <c r="Q13" s="12">
        <f>(4/3)*F13*(1/3)*(1/2)*E13^3*G13*(I13/1470)^2</f>
        <v>10.889825489096673</v>
      </c>
    </row>
    <row r="14" spans="1:37" x14ac:dyDescent="0.3">
      <c r="B14" s="2"/>
      <c r="C14" t="s">
        <v>4</v>
      </c>
      <c r="D14">
        <v>3674</v>
      </c>
      <c r="E14" s="33">
        <f t="shared" si="2"/>
        <v>720</v>
      </c>
      <c r="F14" s="10" cm="1">
        <f t="array" ref="F14">als(E14/1000)</f>
        <v>0.50976975641358935</v>
      </c>
      <c r="G14" s="7">
        <v>1</v>
      </c>
      <c r="H14" s="10"/>
      <c r="I14" s="10">
        <v>-0.69229814422738201</v>
      </c>
      <c r="J14" s="10"/>
      <c r="K14" s="10"/>
      <c r="L14" s="10">
        <f>ABS(SQRT(G14)*I14/1470)*E14</f>
        <v>0.33908480533586055</v>
      </c>
      <c r="M14" s="10"/>
      <c r="N14" s="3">
        <f t="shared" si="1"/>
        <v>0</v>
      </c>
      <c r="O14" s="10">
        <v>3.83841691381935</v>
      </c>
      <c r="P14" s="3" cm="1">
        <f t="array" ref="P14">(E14+2*D14-3712-VgC(O14)*1000)/1470</f>
        <v>0.75460281668867879</v>
      </c>
      <c r="Q14" s="9">
        <f>(4/3)*F14*(1/3)*(1/2)*E14^3*G14*(I14/1470)^2</f>
        <v>9.3780103349641912</v>
      </c>
    </row>
    <row r="15" spans="1:37" x14ac:dyDescent="0.3">
      <c r="C15" t="s">
        <v>5</v>
      </c>
      <c r="D15">
        <v>4149</v>
      </c>
      <c r="E15" s="33">
        <f t="shared" si="2"/>
        <v>245</v>
      </c>
      <c r="F15" s="10" cm="1">
        <f t="array" ref="F15">als(E15/1000)</f>
        <v>1</v>
      </c>
      <c r="G15" s="7">
        <v>1</v>
      </c>
      <c r="H15" s="10"/>
      <c r="I15" s="10">
        <v>0.389022599876376</v>
      </c>
      <c r="J15" s="10"/>
      <c r="K15" s="10"/>
      <c r="L15" s="10">
        <f>ABS(SQRT(G15)*I15/1470)*E15</f>
        <v>6.483709997939599E-2</v>
      </c>
      <c r="M15" s="10"/>
      <c r="N15" s="3">
        <f t="shared" si="1"/>
        <v>0</v>
      </c>
      <c r="O15" s="10">
        <v>5.2712641073307598</v>
      </c>
      <c r="P15" s="3" cm="1">
        <f t="array" ref="P15">(E15+2*D15-3712-VgC(O15)*1000)/1470</f>
        <v>0.85660414469518686</v>
      </c>
      <c r="Q15" s="9">
        <f>(4/3)*F15*(1/3)*(1/2)*E15^3*G15*((I15/1470)^2)</f>
        <v>0.22887625239241266</v>
      </c>
    </row>
    <row r="16" spans="1:37" x14ac:dyDescent="0.3">
      <c r="C16" t="s">
        <v>6</v>
      </c>
      <c r="D16">
        <v>4562</v>
      </c>
      <c r="E16" s="33"/>
      <c r="F16" s="10"/>
      <c r="G16" s="7"/>
      <c r="H16" s="10"/>
      <c r="I16" s="10"/>
      <c r="J16" s="10"/>
      <c r="K16" s="10"/>
      <c r="L16" s="10"/>
      <c r="M16" s="10"/>
      <c r="N16" s="3"/>
      <c r="O16" s="10"/>
      <c r="P16" s="3"/>
      <c r="Q16" s="9"/>
      <c r="Z16" s="16"/>
      <c r="AH16" s="16"/>
    </row>
    <row r="17" spans="1:34" x14ac:dyDescent="0.3">
      <c r="C17" t="s">
        <v>8</v>
      </c>
      <c r="D17">
        <v>3762</v>
      </c>
      <c r="E17" s="33">
        <f t="shared" si="2"/>
        <v>632</v>
      </c>
      <c r="F17" s="10" cm="1">
        <f t="array" ref="F17">als(E17/1000)</f>
        <v>0.57029054702657322</v>
      </c>
      <c r="G17" s="7">
        <v>1</v>
      </c>
      <c r="H17" s="10">
        <v>0.42034536148684798</v>
      </c>
      <c r="I17" s="10"/>
      <c r="J17" s="10"/>
      <c r="K17" s="10"/>
      <c r="L17" s="10">
        <f>ABS(SQRT(G17)*H17/1470)*E17</f>
        <v>0.18071991051679451</v>
      </c>
      <c r="M17" s="10"/>
      <c r="N17" s="3">
        <f t="shared" si="1"/>
        <v>0</v>
      </c>
      <c r="O17" s="10">
        <v>4.04512267054809</v>
      </c>
      <c r="P17" s="3" cm="1">
        <f t="array" ref="P17">(E17+2*D17-3712-VgC(O17)*1000)/1470</f>
        <v>0.78206077266136531</v>
      </c>
      <c r="Q17" s="9">
        <f>(4/3)*F17*(1/3)*(1/2)*E17^3*G17*(H17/1470)^2</f>
        <v>2.615849436364055</v>
      </c>
    </row>
    <row r="18" spans="1:34" x14ac:dyDescent="0.3">
      <c r="C18" t="s">
        <v>9</v>
      </c>
      <c r="D18">
        <v>4209</v>
      </c>
      <c r="E18" s="33">
        <f t="shared" si="2"/>
        <v>185</v>
      </c>
      <c r="F18" s="10" cm="1">
        <f t="array" ref="F18">als(E18/1000)</f>
        <v>1</v>
      </c>
      <c r="G18" s="7">
        <v>1</v>
      </c>
      <c r="H18" s="10">
        <v>-0.23836623565300999</v>
      </c>
      <c r="I18" s="10"/>
      <c r="J18" s="10"/>
      <c r="K18" s="10"/>
      <c r="L18" s="10">
        <f>ABS(SQRT(G18)*H18/1470)*E18</f>
        <v>2.9998471833882209E-2</v>
      </c>
      <c r="M18" s="10"/>
      <c r="N18" s="3">
        <f t="shared" si="1"/>
        <v>0</v>
      </c>
      <c r="O18" s="10">
        <v>5.41104700682118</v>
      </c>
      <c r="P18" s="3" cm="1">
        <f t="array" ref="P18">(E18+2*D18-3712-VgC(O18)*1000)/1470</f>
        <v>0.87617591954693552</v>
      </c>
      <c r="Q18" s="9">
        <f>(4/3)*F18*(1/3)*(1/2)*E18^3*G18*(H18/1470)^2</f>
        <v>3.699623061958255E-2</v>
      </c>
      <c r="AH18" s="16"/>
    </row>
    <row r="19" spans="1:34" x14ac:dyDescent="0.3">
      <c r="C19" t="s">
        <v>10</v>
      </c>
      <c r="D19">
        <v>4608</v>
      </c>
      <c r="E19" s="33"/>
      <c r="F19" s="10"/>
      <c r="G19" s="7"/>
      <c r="H19" s="10"/>
      <c r="I19" s="10"/>
      <c r="J19" s="10"/>
      <c r="K19" s="10"/>
      <c r="L19" s="10"/>
      <c r="M19" s="10"/>
      <c r="N19" s="3"/>
      <c r="O19" s="10"/>
      <c r="P19" s="3"/>
      <c r="Q19" s="9"/>
    </row>
    <row r="20" spans="1:34" x14ac:dyDescent="0.3">
      <c r="C20" t="s">
        <v>11</v>
      </c>
      <c r="D20">
        <v>4974</v>
      </c>
      <c r="E20" s="33"/>
      <c r="F20" s="10"/>
      <c r="G20" s="7"/>
      <c r="H20" s="10"/>
      <c r="I20" s="10"/>
      <c r="J20" s="10"/>
      <c r="K20" s="10"/>
      <c r="L20" s="10"/>
      <c r="M20" s="10"/>
      <c r="N20" s="3"/>
      <c r="O20" s="10"/>
      <c r="P20" s="3"/>
      <c r="Q20" s="9"/>
    </row>
    <row r="21" spans="1:34" x14ac:dyDescent="0.3">
      <c r="A21" s="13" t="s">
        <v>53</v>
      </c>
      <c r="B21" s="13">
        <v>4678</v>
      </c>
      <c r="C21" s="13" t="s">
        <v>3</v>
      </c>
      <c r="D21" s="13">
        <v>3068</v>
      </c>
      <c r="E21" s="13">
        <f t="shared" ref="E21:E27" si="3">$B$21-D21</f>
        <v>1610</v>
      </c>
      <c r="F21" s="11" cm="1">
        <f t="array" ref="F21">als(E21/1000)</f>
        <v>0.31802674514116458</v>
      </c>
      <c r="G21" s="12">
        <v>1</v>
      </c>
      <c r="H21" s="11"/>
      <c r="I21" s="11">
        <v>-2.8812877642666601E-2</v>
      </c>
      <c r="J21" s="11"/>
      <c r="K21" s="11">
        <v>-0.35414233675566298</v>
      </c>
      <c r="L21" s="11">
        <f>ABS(SQRT(G21)*I21/1470)*E21</f>
        <v>3.1556961227682465E-2</v>
      </c>
      <c r="M21" s="11">
        <f>ABS(K21/1000)*E21</f>
        <v>0.57016916217661739</v>
      </c>
      <c r="N21" s="15">
        <f t="shared" si="1"/>
        <v>0.35414233675566298</v>
      </c>
      <c r="O21" s="11">
        <v>2.0555394826094102</v>
      </c>
      <c r="P21" s="15" cm="1">
        <f t="array" ref="P21">(E21+2*D21-3712-VgC(O21)*1000)/1470</f>
        <v>0.83320862650041227</v>
      </c>
      <c r="Q21" s="11">
        <f>(4/3)*F21*(1/3)*(1/2)*E21^3*G21*(I21/1470)^2</f>
        <v>0.1133097703058671</v>
      </c>
    </row>
    <row r="22" spans="1:34" x14ac:dyDescent="0.3">
      <c r="A22" s="13"/>
      <c r="B22" s="17"/>
      <c r="C22" s="13" t="s">
        <v>4</v>
      </c>
      <c r="D22" s="13">
        <v>3674</v>
      </c>
      <c r="E22" s="13">
        <f t="shared" si="3"/>
        <v>1004</v>
      </c>
      <c r="F22" s="11" cm="1">
        <f t="array" ref="F22">als(E22/1000)</f>
        <v>0.40554700804682658</v>
      </c>
      <c r="G22" s="12">
        <v>1</v>
      </c>
      <c r="H22" s="11"/>
      <c r="I22" s="11">
        <v>0.40384504746446298</v>
      </c>
      <c r="J22" s="11"/>
      <c r="K22" s="11">
        <v>1.8910206420795299</v>
      </c>
      <c r="L22" s="11">
        <f>ABS(SQRT(G22)*I22/1470)*E22</f>
        <v>0.27582342017300737</v>
      </c>
      <c r="M22" s="32">
        <f>ABS(K22/1000)*E22</f>
        <v>1.898584724647848</v>
      </c>
      <c r="N22" s="15">
        <f t="shared" si="1"/>
        <v>1.8910206420795299</v>
      </c>
      <c r="O22" s="11">
        <v>3.83841691381935</v>
      </c>
      <c r="P22" s="15" cm="1">
        <f t="array" ref="P22">(E22+2*D22-3712-VgC(O22)*1000)/1470</f>
        <v>0.94780009560024348</v>
      </c>
      <c r="Q22" s="12">
        <f>(4/3)*F22*(1/3)*(1/2)*E22^3*G22*(I22/1470)^2</f>
        <v>6.8837435009078067</v>
      </c>
    </row>
    <row r="23" spans="1:34" x14ac:dyDescent="0.3">
      <c r="C23" t="s">
        <v>5</v>
      </c>
      <c r="D23">
        <v>4149</v>
      </c>
      <c r="E23" s="33">
        <f t="shared" si="3"/>
        <v>529</v>
      </c>
      <c r="F23" s="10" cm="1">
        <f t="array" ref="F23">als(E23/1000)</f>
        <v>0.68750060932260215</v>
      </c>
      <c r="G23" s="7">
        <v>1</v>
      </c>
      <c r="H23" s="10"/>
      <c r="I23" s="10">
        <v>-0.237728160228312</v>
      </c>
      <c r="J23" s="10"/>
      <c r="K23" s="10"/>
      <c r="L23" s="10">
        <f>ABS(SQRT(G23)*I23/1470)*E23</f>
        <v>8.5549793714814318E-2</v>
      </c>
      <c r="M23" s="10"/>
      <c r="N23" s="3">
        <f t="shared" si="1"/>
        <v>0</v>
      </c>
      <c r="O23" s="10">
        <v>5.2712641073307598</v>
      </c>
      <c r="P23" s="3" cm="1">
        <f t="array" ref="P23">(E23+2*D23-3712-VgC(O23)*1000)/1470</f>
        <v>1.0498014236067514</v>
      </c>
      <c r="Q23" s="9">
        <f>(4/3)*F23*(1/3)*(1/2)*E23^3*G23*((I23/1470)^2)</f>
        <v>0.5914992237356701</v>
      </c>
      <c r="AF23" s="16"/>
    </row>
    <row r="24" spans="1:34" x14ac:dyDescent="0.3">
      <c r="C24" t="s">
        <v>6</v>
      </c>
      <c r="D24">
        <v>4562</v>
      </c>
      <c r="E24" s="33">
        <f t="shared" si="3"/>
        <v>116</v>
      </c>
      <c r="F24" s="10" cm="1">
        <f t="array" ref="F24">als(E24/1000)</f>
        <v>1</v>
      </c>
      <c r="G24" s="7">
        <v>1</v>
      </c>
      <c r="H24" s="10"/>
      <c r="I24" s="10">
        <v>3.19800810904938E-2</v>
      </c>
      <c r="J24" s="10"/>
      <c r="K24" s="10"/>
      <c r="L24" s="10">
        <f>ABS(SQRT(G24)*I24/1470)*E24</f>
        <v>2.5235982357124358E-3</v>
      </c>
      <c r="M24" s="10"/>
      <c r="N24" s="3">
        <f t="shared" si="1"/>
        <v>0</v>
      </c>
      <c r="O24" s="10">
        <v>6.5276697104515504</v>
      </c>
      <c r="P24" s="3" cm="1">
        <f t="array" ref="P24">(E24+2*D24-3712-VgC(O24)*1000)/1470</f>
        <v>1.1410323662381165</v>
      </c>
      <c r="Q24" s="9">
        <f>(4/3)*F24*(1/3)*(1/2)*E24^3*G24*((I24/1470)^2)</f>
        <v>1.6416701653638812E-4</v>
      </c>
    </row>
    <row r="25" spans="1:34" x14ac:dyDescent="0.3">
      <c r="C25" t="s">
        <v>8</v>
      </c>
      <c r="D25">
        <v>3762</v>
      </c>
      <c r="E25">
        <f t="shared" si="3"/>
        <v>916</v>
      </c>
      <c r="F25" s="10" cm="1">
        <f t="array" ref="F25">als(E25/1000)</f>
        <v>0.42924953230664875</v>
      </c>
      <c r="G25" s="7">
        <v>1</v>
      </c>
      <c r="H25" s="10">
        <v>0.87817615868430399</v>
      </c>
      <c r="I25" s="10"/>
      <c r="J25" s="10">
        <v>3.5373155897050799</v>
      </c>
      <c r="K25" s="10"/>
      <c r="L25" s="10">
        <f>ABS(SQRT(G25)*H25/1470)*E25</f>
        <v>0.54721725262232812</v>
      </c>
      <c r="M25" s="31">
        <f>ABS(J25/1000)*E25</f>
        <v>3.2401810801698532</v>
      </c>
      <c r="N25" s="3">
        <f t="shared" si="1"/>
        <v>3.5373155897050799</v>
      </c>
      <c r="O25" s="10">
        <v>4.04512267054809</v>
      </c>
      <c r="P25" s="3" cm="1">
        <f t="array" ref="P25">(E25+2*D25-3712-VgC(O25)*1000)/1470</f>
        <v>0.97525805157293</v>
      </c>
      <c r="Q25" s="9">
        <f>(4/3)*F25*(1/3)*(1/2)*E25^3*G25*(H25/1470)^2</f>
        <v>26.164494779599302</v>
      </c>
    </row>
    <row r="26" spans="1:34" x14ac:dyDescent="0.3">
      <c r="C26" t="s">
        <v>9</v>
      </c>
      <c r="D26">
        <v>4209</v>
      </c>
      <c r="E26" s="33">
        <f t="shared" si="3"/>
        <v>469</v>
      </c>
      <c r="F26" s="10" cm="1">
        <f t="array" ref="F26">als(E26/1000)</f>
        <v>0.80604709211972003</v>
      </c>
      <c r="G26" s="7">
        <v>1</v>
      </c>
      <c r="H26" s="10">
        <v>3.02666993605606E-2</v>
      </c>
      <c r="I26" s="10"/>
      <c r="J26" s="10"/>
      <c r="K26" s="10"/>
      <c r="L26" s="10">
        <f>ABS(SQRT(G26)*H26/1470)*E26</f>
        <v>9.6565183674169539E-3</v>
      </c>
      <c r="M26" s="10"/>
      <c r="N26" s="3">
        <f t="shared" si="1"/>
        <v>0</v>
      </c>
      <c r="O26" s="10">
        <v>5.41104700682118</v>
      </c>
      <c r="P26" s="3" cm="1">
        <f t="array" ref="P26">(E26+2*D26-3712-VgC(O26)*1000)/1470</f>
        <v>1.0693731984585002</v>
      </c>
      <c r="Q26" s="9">
        <f>(4/3)*F26*(1/3)*(1/2)*E26^3*G26*(H26/1470)^2</f>
        <v>7.8336089194276214E-3</v>
      </c>
    </row>
    <row r="27" spans="1:34" x14ac:dyDescent="0.3">
      <c r="C27" t="s">
        <v>10</v>
      </c>
      <c r="D27">
        <v>4608</v>
      </c>
      <c r="E27" s="33">
        <f t="shared" si="3"/>
        <v>70</v>
      </c>
      <c r="F27" s="10" cm="1">
        <f t="array" ref="F27">als(E27/1000)</f>
        <v>1E-4</v>
      </c>
      <c r="G27" s="7">
        <v>1</v>
      </c>
      <c r="H27" s="10">
        <v>-6.1935361508103498E-2</v>
      </c>
      <c r="I27" s="10"/>
      <c r="J27" s="10"/>
      <c r="K27" s="10"/>
      <c r="L27" s="10">
        <f>ABS(SQRT(G27)*H27/1470)*E27</f>
        <v>2.9493029289573095E-3</v>
      </c>
      <c r="M27" s="10"/>
      <c r="N27" s="3">
        <f t="shared" si="1"/>
        <v>0</v>
      </c>
      <c r="O27" s="10">
        <v>6.6325211715344397</v>
      </c>
      <c r="P27" s="3" cm="1">
        <f t="array" ref="P27">(E27+2*D27-3712-VgC(O27)*1000)/1470</f>
        <v>1.1565940700998196</v>
      </c>
      <c r="Q27" s="9">
        <f>(4/3)*F27*(1/3)*(1/2)*E27^3*G27*((H27/1470)^2)</f>
        <v>1.3530825414954034E-8</v>
      </c>
    </row>
    <row r="28" spans="1:34" x14ac:dyDescent="0.3">
      <c r="C28" t="s">
        <v>11</v>
      </c>
      <c r="D28">
        <v>4974</v>
      </c>
      <c r="E28" s="33"/>
      <c r="F28" s="10"/>
      <c r="G28" s="7"/>
      <c r="H28" s="10"/>
      <c r="I28" s="10"/>
      <c r="J28" s="10"/>
      <c r="K28" s="10"/>
      <c r="L28" s="10"/>
      <c r="M28" s="10"/>
      <c r="N28" s="3"/>
      <c r="O28" s="10"/>
      <c r="P28" s="3"/>
      <c r="Q28" s="9"/>
    </row>
    <row r="29" spans="1:34" x14ac:dyDescent="0.3">
      <c r="F29" s="3"/>
      <c r="G29" s="7"/>
      <c r="L29" s="3"/>
      <c r="M29" s="3"/>
      <c r="N29" s="3"/>
      <c r="O29" s="3"/>
      <c r="P29" s="3"/>
      <c r="Q29" s="3"/>
    </row>
    <row r="30" spans="1:34" x14ac:dyDescent="0.3">
      <c r="F30" s="3"/>
      <c r="G30" s="7"/>
      <c r="L30" s="3"/>
      <c r="M30" s="3"/>
      <c r="N30" s="3"/>
      <c r="O30" s="3"/>
      <c r="P30" s="3"/>
      <c r="Q30" s="3"/>
    </row>
    <row r="31" spans="1:34" x14ac:dyDescent="0.3">
      <c r="A31" s="2"/>
      <c r="B31" s="2"/>
      <c r="F31" s="3"/>
      <c r="G31" s="7"/>
      <c r="L31" s="3"/>
      <c r="M31" s="3"/>
      <c r="N31" s="3"/>
      <c r="O31" s="3"/>
      <c r="P31" s="3"/>
      <c r="Q31" s="3"/>
    </row>
    <row r="32" spans="1:34" x14ac:dyDescent="0.3">
      <c r="A32" s="2"/>
      <c r="F32" s="3"/>
      <c r="G32" s="7"/>
      <c r="L32" s="3"/>
      <c r="M32" s="3"/>
      <c r="N32" s="3"/>
      <c r="O32" s="3"/>
      <c r="P32" s="3"/>
      <c r="Q32" s="3"/>
    </row>
    <row r="33" spans="1:37" x14ac:dyDescent="0.3">
      <c r="F33" s="3"/>
      <c r="G33" s="7"/>
      <c r="L33" s="3"/>
      <c r="M33" s="3"/>
      <c r="N33" s="3"/>
      <c r="O33" s="3"/>
      <c r="P33" s="3"/>
      <c r="Q33" s="3"/>
    </row>
    <row r="34" spans="1:37" ht="13.8" customHeight="1" x14ac:dyDescent="0.3"/>
    <row r="35" spans="1:37" x14ac:dyDescent="0.3">
      <c r="A35" t="s">
        <v>51</v>
      </c>
      <c r="E35" t="s">
        <v>50</v>
      </c>
      <c r="I35" s="40" t="s">
        <v>104</v>
      </c>
      <c r="J35" s="5" t="s">
        <v>102</v>
      </c>
      <c r="K35" s="6" t="s">
        <v>101</v>
      </c>
      <c r="L35" s="5" t="s">
        <v>105</v>
      </c>
      <c r="M35" s="6" t="s">
        <v>101</v>
      </c>
      <c r="N35" s="5" t="s">
        <v>106</v>
      </c>
      <c r="O35" s="6"/>
    </row>
    <row r="36" spans="1:37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37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39</v>
      </c>
      <c r="G37" s="1" t="s">
        <v>52</v>
      </c>
      <c r="H37" s="1" t="s">
        <v>21</v>
      </c>
      <c r="I37" s="1" t="s">
        <v>22</v>
      </c>
      <c r="J37" s="1" t="s">
        <v>65</v>
      </c>
      <c r="K37" s="1" t="s">
        <v>66</v>
      </c>
      <c r="L37" s="1" t="s">
        <v>100</v>
      </c>
      <c r="M37" s="1" t="s">
        <v>76</v>
      </c>
      <c r="N37" s="27" t="s">
        <v>73</v>
      </c>
      <c r="O37" s="27" t="s">
        <v>74</v>
      </c>
      <c r="P37" s="27" t="s">
        <v>71</v>
      </c>
      <c r="Q37" s="1" t="s">
        <v>38</v>
      </c>
    </row>
    <row r="38" spans="1:37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 t="s">
        <v>37</v>
      </c>
      <c r="J38" s="1"/>
      <c r="K38" s="1"/>
      <c r="L38" s="1"/>
      <c r="M38" s="1"/>
      <c r="N38" s="27" t="s">
        <v>70</v>
      </c>
      <c r="O38" s="27" t="s">
        <v>70</v>
      </c>
      <c r="P38" s="27" t="s">
        <v>70</v>
      </c>
      <c r="Q38" s="1" t="s">
        <v>34</v>
      </c>
    </row>
    <row r="39" spans="1:37" x14ac:dyDescent="0.3">
      <c r="A39" s="13" t="s">
        <v>19</v>
      </c>
      <c r="B39" s="13">
        <v>10704</v>
      </c>
      <c r="C39" s="13" t="s">
        <v>3</v>
      </c>
      <c r="D39" s="13">
        <v>9551</v>
      </c>
      <c r="E39" s="13">
        <f t="shared" ref="E39:E45" si="4">$B$39-D39</f>
        <v>1153</v>
      </c>
      <c r="F39" s="15" cm="1">
        <f t="array" ref="F39">als(E39/1000)</f>
        <v>0.37480290298963193</v>
      </c>
      <c r="G39" s="12">
        <v>1</v>
      </c>
      <c r="H39" s="15"/>
      <c r="I39" s="15">
        <v>-0.77441107009168597</v>
      </c>
      <c r="J39" s="15"/>
      <c r="K39" s="15">
        <v>-1.2383353208880601</v>
      </c>
      <c r="L39" s="15">
        <f>ABS(SQRT(G39)*I39/4880)*E39</f>
        <v>0.18297048438846597</v>
      </c>
      <c r="M39" s="35">
        <f>ABS(K39/1000)*E39</f>
        <v>1.4278006249839335</v>
      </c>
      <c r="N39" s="15">
        <f>M39/(E39/1000)</f>
        <v>1.2383353208880603</v>
      </c>
      <c r="O39" s="11">
        <v>1.20873770697426</v>
      </c>
      <c r="P39" s="15" cm="1">
        <f t="array" ref="P39">(E39+2*D39-10537-VgB(O39)*1000)/4880</f>
        <v>7.124500731039253E-2</v>
      </c>
      <c r="Q39" s="14">
        <f>(4/3)*F39*(1/3)*(1/2)*E39^3*G39*((I39/4880)^2)</f>
        <v>3.2150062027202493</v>
      </c>
      <c r="W39" s="10"/>
      <c r="X39" s="10"/>
      <c r="Y39" s="10"/>
      <c r="Z39" s="10"/>
      <c r="AA39" s="10"/>
      <c r="AB39" s="10"/>
      <c r="AC39" s="10"/>
      <c r="AD39" s="10"/>
      <c r="AE39" s="4"/>
      <c r="AF39" s="10"/>
      <c r="AG39" s="10"/>
      <c r="AH39" s="10"/>
      <c r="AI39" s="10"/>
      <c r="AJ39" s="10"/>
      <c r="AK39" s="4"/>
    </row>
    <row r="40" spans="1:37" x14ac:dyDescent="0.3">
      <c r="B40" s="2"/>
      <c r="C40" t="s">
        <v>4</v>
      </c>
      <c r="D40">
        <v>10017</v>
      </c>
      <c r="E40" s="33">
        <f t="shared" si="4"/>
        <v>687</v>
      </c>
      <c r="F40" s="3" cm="1">
        <f t="array" ref="F40">als(E40/1000)</f>
        <v>0.52976416735003551</v>
      </c>
      <c r="G40" s="7">
        <v>1</v>
      </c>
      <c r="H40" s="3"/>
      <c r="I40" s="3">
        <v>0.57837021069460004</v>
      </c>
      <c r="J40" s="3"/>
      <c r="K40" s="3"/>
      <c r="L40" s="3">
        <f>ABS(SQRT(G40)*I40/4880)*E40</f>
        <v>8.1422199743276691E-2</v>
      </c>
      <c r="M40" s="3"/>
      <c r="N40" s="3">
        <f t="shared" ref="N40:N62" si="5">M40/(E40/1000)</f>
        <v>0</v>
      </c>
      <c r="O40" s="10">
        <v>2.4490469895425302</v>
      </c>
      <c r="P40" s="3" cm="1">
        <f t="array" ref="P40">(E40+2*D40-10537-VgB(O40)*1000)/4880</f>
        <v>9.1486106617018975E-2</v>
      </c>
      <c r="Q40" s="8">
        <f>(4/3)*F40*(1/3)*(1/2)*E40^3*G40*((I40/4880)^2)</f>
        <v>0.53618229058477307</v>
      </c>
      <c r="W40" s="10"/>
      <c r="X40" s="10"/>
      <c r="Y40" s="10"/>
      <c r="Z40" s="10"/>
      <c r="AA40" s="10"/>
      <c r="AB40" s="10"/>
      <c r="AC40" s="10"/>
      <c r="AD40" s="10"/>
      <c r="AE40" s="4"/>
      <c r="AF40" s="10"/>
      <c r="AG40" s="10"/>
      <c r="AH40" s="10"/>
      <c r="AI40" s="10"/>
      <c r="AJ40" s="10"/>
      <c r="AK40" s="4"/>
    </row>
    <row r="41" spans="1:37" x14ac:dyDescent="0.3">
      <c r="C41" t="s">
        <v>5</v>
      </c>
      <c r="D41">
        <v>10355</v>
      </c>
      <c r="E41" s="33">
        <f t="shared" si="4"/>
        <v>349</v>
      </c>
      <c r="F41" s="3" cm="1">
        <f t="array" ref="F41">als(E41/1000)</f>
        <v>1</v>
      </c>
      <c r="G41" s="7">
        <v>1</v>
      </c>
      <c r="H41" s="3"/>
      <c r="I41" s="3">
        <v>-6.8219031850554598E-2</v>
      </c>
      <c r="J41" s="3"/>
      <c r="K41" s="3"/>
      <c r="L41" s="3">
        <f>ABS(SQRT(G41)*I41/4880)*E41</f>
        <v>4.8787791220990893E-3</v>
      </c>
      <c r="M41" s="3"/>
      <c r="N41" s="3">
        <f t="shared" si="5"/>
        <v>0</v>
      </c>
      <c r="O41" s="10">
        <v>3.4295530668187899</v>
      </c>
      <c r="P41" s="3" cm="1">
        <f t="array" ref="P41">(E41+2*D41-10537-VgB(O41)*1000)/4880</f>
        <v>0.11180861774377464</v>
      </c>
      <c r="Q41" s="8">
        <f>(4/3)*F41*(1/3)*(1/2)*E41^3*G41*((I41/4880)^2)</f>
        <v>1.8460150037907237E-3</v>
      </c>
      <c r="S41" s="2"/>
      <c r="W41" s="10"/>
      <c r="X41" s="10"/>
      <c r="Y41" s="10"/>
      <c r="Z41" s="10"/>
      <c r="AA41" s="10"/>
      <c r="AB41" s="10"/>
      <c r="AC41" s="10"/>
      <c r="AD41" s="10"/>
      <c r="AE41" s="4"/>
      <c r="AF41" s="10"/>
      <c r="AG41" s="10"/>
      <c r="AH41" s="10"/>
      <c r="AI41" s="10"/>
      <c r="AJ41" s="10"/>
      <c r="AK41" s="4"/>
    </row>
    <row r="42" spans="1:37" x14ac:dyDescent="0.3">
      <c r="C42" t="s">
        <v>6</v>
      </c>
      <c r="D42">
        <v>10643</v>
      </c>
      <c r="E42" s="33">
        <f t="shared" si="4"/>
        <v>61</v>
      </c>
      <c r="F42" s="3" cm="1">
        <f t="array" ref="F42">als(E42/1000)</f>
        <v>1E-4</v>
      </c>
      <c r="G42" s="7">
        <v>1</v>
      </c>
      <c r="H42" s="3"/>
      <c r="I42" s="3">
        <v>1.76132773633942E-2</v>
      </c>
      <c r="J42" s="3"/>
      <c r="K42" s="3"/>
      <c r="L42" s="3">
        <f>ABS(SQRT(G42)*I42/4880)*E42</f>
        <v>2.201659670424275E-4</v>
      </c>
      <c r="M42" s="3"/>
      <c r="N42" s="3">
        <f t="shared" si="5"/>
        <v>0</v>
      </c>
      <c r="O42" s="10">
        <v>4.2872389731671996</v>
      </c>
      <c r="P42" s="3" cm="1">
        <f t="array" ref="P42">(E42+2*D42-10537-VgB(O42)*1000)/4880</f>
        <v>0.13016879206382767</v>
      </c>
      <c r="Q42" s="8">
        <f>(4/3)*F42*(1/3)*(1/2)*E42^3*G42*((I42/4880)^2)</f>
        <v>6.5707916348163639E-11</v>
      </c>
      <c r="W42" s="10"/>
      <c r="X42" s="10"/>
      <c r="Y42" s="10"/>
      <c r="Z42" s="10"/>
      <c r="AA42" s="10"/>
      <c r="AB42" s="10"/>
      <c r="AC42" s="10"/>
      <c r="AD42" s="10"/>
      <c r="AE42" s="4"/>
      <c r="AF42" s="10"/>
      <c r="AG42" s="10"/>
      <c r="AH42" s="10"/>
      <c r="AI42" s="10"/>
      <c r="AJ42" s="10"/>
      <c r="AK42" s="10"/>
    </row>
    <row r="43" spans="1:37" x14ac:dyDescent="0.3">
      <c r="C43" t="s">
        <v>8</v>
      </c>
      <c r="D43">
        <v>10106</v>
      </c>
      <c r="E43" s="33">
        <f t="shared" si="4"/>
        <v>598</v>
      </c>
      <c r="F43" s="3" cm="1">
        <f t="array" ref="F43">als(E43/1000)</f>
        <v>0.60146179818153211</v>
      </c>
      <c r="G43" s="7">
        <v>1</v>
      </c>
      <c r="H43" s="3">
        <v>-0.23309059101441201</v>
      </c>
      <c r="I43" s="3"/>
      <c r="J43" s="3"/>
      <c r="K43" s="3"/>
      <c r="L43" s="3">
        <f>ABS(SQRT(G43)*H43/4880)*E43</f>
        <v>2.8563150292339832E-2</v>
      </c>
      <c r="M43" s="3"/>
      <c r="N43" s="3">
        <f t="shared" si="5"/>
        <v>0</v>
      </c>
      <c r="O43" s="10">
        <v>2.6197365527972898</v>
      </c>
      <c r="P43" s="3" cm="1">
        <f t="array" ref="P43">(E43+2*D43-10537-VgB(O43)*1000)/4880</f>
        <v>0.10089526770775778</v>
      </c>
      <c r="Q43" s="8">
        <f>(4/3)*F43*(1/3)*(1/2)*E43^3*G43*((H43/4880)^2)</f>
        <v>6.5209208470599883E-2</v>
      </c>
      <c r="W43" s="10"/>
      <c r="X43" s="10"/>
      <c r="Y43" s="10"/>
      <c r="Z43" s="10"/>
      <c r="AA43" s="10"/>
      <c r="AB43" s="10"/>
      <c r="AC43" s="10"/>
      <c r="AD43" s="10"/>
      <c r="AE43" s="4"/>
      <c r="AF43" s="10"/>
      <c r="AG43" s="10"/>
      <c r="AH43" s="10"/>
      <c r="AI43" s="10"/>
      <c r="AJ43" s="10"/>
      <c r="AK43" s="4"/>
    </row>
    <row r="44" spans="1:37" x14ac:dyDescent="0.3">
      <c r="C44" t="s">
        <v>9</v>
      </c>
      <c r="D44">
        <v>10416</v>
      </c>
      <c r="E44" s="33">
        <f t="shared" si="4"/>
        <v>288</v>
      </c>
      <c r="F44" s="3" cm="1">
        <f t="array" ref="F44">als(E44/1000)</f>
        <v>1</v>
      </c>
      <c r="G44" s="7">
        <v>1</v>
      </c>
      <c r="H44" s="3">
        <v>6.60280079811916E-2</v>
      </c>
      <c r="I44" s="3"/>
      <c r="J44" s="3"/>
      <c r="K44" s="3"/>
      <c r="L44" s="3">
        <f>ABS(SQRT(G44)*H44/4880)*E44</f>
        <v>3.8967348972506516E-3</v>
      </c>
      <c r="M44" s="3"/>
      <c r="N44" s="3">
        <f t="shared" si="5"/>
        <v>0</v>
      </c>
      <c r="O44" s="10">
        <v>3.5477705192787301</v>
      </c>
      <c r="P44" s="3" cm="1">
        <f t="array" ref="P44">(E44+2*D44-10537-VgB(O44)*1000)/4880</f>
        <v>0.11862242965459632</v>
      </c>
      <c r="Q44" s="8">
        <f>(4/3)*F44*(1/3)*(1/2)*E44^3*G44*((H44/4880)^2)</f>
        <v>9.7181074300486698E-4</v>
      </c>
      <c r="W44" s="10"/>
      <c r="X44" s="10"/>
      <c r="Y44" s="10"/>
      <c r="Z44" s="10"/>
      <c r="AA44" s="10"/>
      <c r="AB44" s="10"/>
      <c r="AC44" s="10"/>
      <c r="AD44" s="10"/>
      <c r="AE44" s="4"/>
      <c r="AF44" s="10"/>
      <c r="AG44" s="10"/>
      <c r="AH44" s="10"/>
      <c r="AI44" s="10"/>
      <c r="AJ44" s="10"/>
      <c r="AK44" s="4"/>
    </row>
    <row r="45" spans="1:37" x14ac:dyDescent="0.3">
      <c r="C45" t="s">
        <v>10</v>
      </c>
      <c r="D45">
        <v>10689</v>
      </c>
      <c r="E45" s="33">
        <f t="shared" si="4"/>
        <v>15</v>
      </c>
      <c r="F45" s="3" cm="1">
        <f t="array" ref="F45">als(E45/1000)</f>
        <v>1E-4</v>
      </c>
      <c r="G45" s="7">
        <v>1</v>
      </c>
      <c r="H45" s="3">
        <v>4.9320425871861098E-3</v>
      </c>
      <c r="I45" s="3"/>
      <c r="J45" s="3"/>
      <c r="K45" s="3"/>
      <c r="L45" s="3">
        <f>ABS(SQRT(G45)*H45/4880)*E45</f>
        <v>1.5159966968809764E-5</v>
      </c>
      <c r="M45" s="3"/>
      <c r="N45" s="3">
        <f t="shared" si="5"/>
        <v>0</v>
      </c>
      <c r="O45" s="10">
        <v>4.3779667163029297</v>
      </c>
      <c r="P45" s="3" cm="1">
        <f t="array" ref="P45">(E45+2*D45-10537-VgB(O45)*1000)/4880</f>
        <v>0.13536006661272049</v>
      </c>
      <c r="Q45" s="8">
        <f>(4/3)*F45*(1/3)*(1/2)*E45^3*G45*((H45/4880)^2)</f>
        <v>7.6608199498467692E-14</v>
      </c>
    </row>
    <row r="46" spans="1:37" x14ac:dyDescent="0.3">
      <c r="C46" t="s">
        <v>11</v>
      </c>
      <c r="D46">
        <v>10939</v>
      </c>
      <c r="E46" s="33"/>
      <c r="F46" s="3"/>
      <c r="G46" s="7"/>
      <c r="H46" s="3"/>
      <c r="I46" s="3"/>
      <c r="J46" s="3"/>
      <c r="K46" s="3"/>
      <c r="L46" s="3"/>
      <c r="M46" s="3"/>
      <c r="N46" s="3"/>
      <c r="O46" s="10"/>
      <c r="P46" s="3"/>
      <c r="Q46" s="8"/>
    </row>
    <row r="47" spans="1:37" x14ac:dyDescent="0.3">
      <c r="A47" s="13" t="s">
        <v>30</v>
      </c>
      <c r="B47" s="13">
        <v>10905</v>
      </c>
      <c r="C47" s="13" t="s">
        <v>3</v>
      </c>
      <c r="D47" s="13">
        <v>9551</v>
      </c>
      <c r="E47" s="13">
        <f t="shared" ref="E47:E53" si="6">$B$47-D47</f>
        <v>1354</v>
      </c>
      <c r="F47" s="15" cm="1">
        <f t="array" ref="F47">als(E47/1000)</f>
        <v>0.34493321671947547</v>
      </c>
      <c r="G47" s="12">
        <v>1</v>
      </c>
      <c r="H47" s="15"/>
      <c r="I47" s="15">
        <v>-0.489310314063434</v>
      </c>
      <c r="J47" s="15"/>
      <c r="K47" s="15">
        <v>-0.48105742628392401</v>
      </c>
      <c r="L47" s="15">
        <f>ABS(SQRT(G47)*I47/4880)*E47</f>
        <v>0.13576355845120691</v>
      </c>
      <c r="M47" s="15">
        <f>ABS(K47/1000)*E47</f>
        <v>0.65135175518843313</v>
      </c>
      <c r="N47" s="15">
        <f t="shared" si="5"/>
        <v>0.48105742628392401</v>
      </c>
      <c r="O47" s="11">
        <v>1.20873770697426</v>
      </c>
      <c r="P47" s="15" cm="1">
        <f t="array" ref="P47">(E47+2*D47-10537-VgB(O47)*1000)/4880</f>
        <v>0.11243353190055647</v>
      </c>
      <c r="Q47" s="14">
        <f>(4/3)*F47*(1/3)*(1/2)*E47^3*G47*((I47/4880)^2)</f>
        <v>1.9129675112209676</v>
      </c>
    </row>
    <row r="48" spans="1:37" x14ac:dyDescent="0.3">
      <c r="A48" s="13"/>
      <c r="B48" s="17"/>
      <c r="C48" s="13" t="s">
        <v>4</v>
      </c>
      <c r="D48" s="13">
        <v>10017</v>
      </c>
      <c r="E48" s="13">
        <f t="shared" si="6"/>
        <v>888</v>
      </c>
      <c r="F48" s="15" cm="1">
        <f t="array" ref="F48">als(E48/1000)</f>
        <v>0.43799488823701305</v>
      </c>
      <c r="G48" s="12">
        <v>1</v>
      </c>
      <c r="H48" s="15"/>
      <c r="I48" s="15">
        <v>-0.40752857680195298</v>
      </c>
      <c r="J48" s="15"/>
      <c r="K48" s="15">
        <v>-1.2320639186698801</v>
      </c>
      <c r="L48" s="15">
        <f>ABS(SQRT(G48)*I48/4880)*E48</f>
        <v>7.4156839385273413E-2</v>
      </c>
      <c r="M48" s="35">
        <f>ABS(K48/1000)*E48</f>
        <v>1.0940727597788535</v>
      </c>
      <c r="N48" s="15">
        <f t="shared" si="5"/>
        <v>1.2320639186698801</v>
      </c>
      <c r="O48" s="11">
        <v>2.4490469895425302</v>
      </c>
      <c r="P48" s="15" cm="1">
        <f t="array" ref="P48">(E48+2*D48-10537-VgB(O48)*1000)/4880</f>
        <v>0.1326746312071829</v>
      </c>
      <c r="Q48" s="14">
        <f>(4/3)*F48*(1/3)*(1/2)*E48^3*G48*((I48/4880)^2)</f>
        <v>0.47530449028733363</v>
      </c>
    </row>
    <row r="49" spans="1:17" x14ac:dyDescent="0.3">
      <c r="C49" t="s">
        <v>5</v>
      </c>
      <c r="D49">
        <v>10355</v>
      </c>
      <c r="E49" s="33">
        <f t="shared" si="6"/>
        <v>550</v>
      </c>
      <c r="F49" s="3" cm="1">
        <f t="array" ref="F49">als(E49/1000)</f>
        <v>0.65717620235533458</v>
      </c>
      <c r="G49" s="7">
        <v>1</v>
      </c>
      <c r="H49" s="3"/>
      <c r="I49" s="3">
        <v>0.59258925314556299</v>
      </c>
      <c r="J49" s="3"/>
      <c r="K49" s="3"/>
      <c r="L49" s="3">
        <f>ABS(SQRT(G49)*I49/4880)*E49</f>
        <v>6.678772320288108E-2</v>
      </c>
      <c r="M49" s="3"/>
      <c r="N49" s="3">
        <f t="shared" si="5"/>
        <v>0</v>
      </c>
      <c r="O49" s="10">
        <v>3.4295530668187899</v>
      </c>
      <c r="P49" s="3" cm="1">
        <f t="array" ref="P49">(E49+2*D49-10537-VgB(O49)*1000)/4880</f>
        <v>0.15299714233393857</v>
      </c>
      <c r="Q49" s="8">
        <f>(4/3)*F49*(1/3)*(1/2)*E49^3*G49*((I49/4880)^2)</f>
        <v>0.35828224042373036</v>
      </c>
    </row>
    <row r="50" spans="1:17" x14ac:dyDescent="0.3">
      <c r="C50" t="s">
        <v>6</v>
      </c>
      <c r="D50">
        <v>10643</v>
      </c>
      <c r="E50" s="33">
        <f t="shared" si="6"/>
        <v>262</v>
      </c>
      <c r="F50" s="3" cm="1">
        <f t="array" ref="F50">als(E50/1000)</f>
        <v>1</v>
      </c>
      <c r="G50" s="7">
        <v>1</v>
      </c>
      <c r="H50" s="3"/>
      <c r="I50" s="3">
        <v>-8.3505303147530102E-2</v>
      </c>
      <c r="J50" s="3"/>
      <c r="K50" s="3"/>
      <c r="L50" s="3">
        <f>ABS(SQRT(G50)*I50/4880)*E50</f>
        <v>4.4832765214452642E-3</v>
      </c>
      <c r="M50" s="3"/>
      <c r="N50" s="3">
        <f t="shared" si="5"/>
        <v>0</v>
      </c>
      <c r="O50" s="10">
        <v>4.2872389731671996</v>
      </c>
      <c r="P50" s="3" cm="1">
        <f t="array" ref="P50">(E50+2*D50-10537-VgB(O50)*1000)/4880</f>
        <v>0.17135731665399162</v>
      </c>
      <c r="Q50" s="8">
        <f>(4/3)*F50*(1/3)*(1/2)*E50^3*G50*((I50/4880)^2)</f>
        <v>1.1702531805218876E-3</v>
      </c>
    </row>
    <row r="51" spans="1:17" x14ac:dyDescent="0.3">
      <c r="C51" t="s">
        <v>8</v>
      </c>
      <c r="D51">
        <v>10106</v>
      </c>
      <c r="E51" s="33">
        <f t="shared" si="6"/>
        <v>799</v>
      </c>
      <c r="F51" s="3" cm="1">
        <f t="array" ref="F51">als(E51/1000)</f>
        <v>0.4710362853024434</v>
      </c>
      <c r="G51" s="7">
        <v>1</v>
      </c>
      <c r="H51" s="3">
        <v>0.348262578757987</v>
      </c>
      <c r="I51" s="3"/>
      <c r="J51" s="3"/>
      <c r="K51" s="3"/>
      <c r="L51" s="3">
        <f>ABS(SQRT(G51)*H51/4880)*E51</f>
        <v>5.7020860743367138E-2</v>
      </c>
      <c r="M51" s="3"/>
      <c r="N51" s="3">
        <f t="shared" si="5"/>
        <v>0</v>
      </c>
      <c r="O51" s="10">
        <v>2.6197365527972898</v>
      </c>
      <c r="P51" s="3" cm="1">
        <f t="array" ref="P51">(E51+2*D51-10537-VgB(O51)*1000)/4880</f>
        <v>0.14208379229792173</v>
      </c>
      <c r="Q51" s="8">
        <f>(4/3)*F51*(1/3)*(1/2)*E51^3*G51*((H51/4880)^2)</f>
        <v>0.27192940131118237</v>
      </c>
    </row>
    <row r="52" spans="1:17" x14ac:dyDescent="0.3">
      <c r="C52" t="s">
        <v>9</v>
      </c>
      <c r="D52">
        <v>10416</v>
      </c>
      <c r="E52" s="33">
        <f t="shared" si="6"/>
        <v>489</v>
      </c>
      <c r="F52" s="3" cm="1">
        <f t="array" ref="F52">als(E52/1000)</f>
        <v>0.75994064580292697</v>
      </c>
      <c r="G52" s="7">
        <v>1</v>
      </c>
      <c r="H52" s="3">
        <v>-0.32507314079382399</v>
      </c>
      <c r="I52" s="3"/>
      <c r="J52" s="3"/>
      <c r="K52" s="3"/>
      <c r="L52" s="3">
        <f>ABS(SQRT(G52)*H52/4880)*E52</f>
        <v>3.257392742790572E-2</v>
      </c>
      <c r="M52" s="3"/>
      <c r="N52" s="3">
        <f t="shared" si="5"/>
        <v>0</v>
      </c>
      <c r="O52" s="10">
        <v>3.5477705192787301</v>
      </c>
      <c r="P52" s="3" cm="1">
        <f t="array" ref="P52">(E52+2*D52-10537-VgB(O52)*1000)/4880</f>
        <v>0.15981095424476027</v>
      </c>
      <c r="Q52" s="8">
        <f>(4/3)*F52*(1/3)*(1/2)*E52^3*G52*((H52/4880)^2)</f>
        <v>8.7622626660889866E-2</v>
      </c>
    </row>
    <row r="53" spans="1:17" x14ac:dyDescent="0.3">
      <c r="C53" t="s">
        <v>10</v>
      </c>
      <c r="D53">
        <v>10689</v>
      </c>
      <c r="E53" s="33">
        <f t="shared" si="6"/>
        <v>216</v>
      </c>
      <c r="F53" s="3" cm="1">
        <f t="array" ref="F53">als(E53/1000)</f>
        <v>1</v>
      </c>
      <c r="G53" s="7">
        <v>1</v>
      </c>
      <c r="H53" s="3">
        <v>6.6459051063369301E-2</v>
      </c>
      <c r="I53" s="3"/>
      <c r="J53" s="3"/>
      <c r="K53" s="3"/>
      <c r="L53" s="3">
        <f>ABS(SQRT(G53)*H53/4880)*E53</f>
        <v>2.9416301290343789E-3</v>
      </c>
      <c r="M53" s="3"/>
      <c r="N53" s="3">
        <f t="shared" si="5"/>
        <v>0</v>
      </c>
      <c r="O53" s="10">
        <v>4.3779667163029297</v>
      </c>
      <c r="P53" s="3" cm="1">
        <f t="array" ref="P53">(E53+2*D53-10537-VgB(O53)*1000)/4880</f>
        <v>0.17654859120288441</v>
      </c>
      <c r="Q53" s="8">
        <f>(4/3)*F53*(1/3)*(1/2)*E53^3*G53*((H53/4880)^2)</f>
        <v>4.1535301517005519E-4</v>
      </c>
    </row>
    <row r="54" spans="1:17" x14ac:dyDescent="0.3">
      <c r="C54" t="s">
        <v>11</v>
      </c>
      <c r="D54">
        <v>10939</v>
      </c>
      <c r="E54" s="33"/>
      <c r="F54" s="3"/>
      <c r="G54" s="7"/>
      <c r="H54" s="3"/>
      <c r="I54" s="3"/>
      <c r="J54" s="3"/>
      <c r="K54" s="3"/>
      <c r="L54" s="3"/>
      <c r="M54" s="3"/>
      <c r="N54" s="3"/>
      <c r="O54" s="10"/>
      <c r="P54" s="3"/>
      <c r="Q54" s="8"/>
    </row>
    <row r="55" spans="1:17" x14ac:dyDescent="0.3">
      <c r="A55" s="13" t="s">
        <v>53</v>
      </c>
      <c r="B55" s="13">
        <v>11103</v>
      </c>
      <c r="C55" s="13" t="s">
        <v>3</v>
      </c>
      <c r="D55" s="13">
        <v>9551</v>
      </c>
      <c r="E55" s="13">
        <f>$B$55-D55</f>
        <v>1552</v>
      </c>
      <c r="F55" s="15" cm="1">
        <f t="array" ref="F55">als(E55/1000)</f>
        <v>0.32334171665302869</v>
      </c>
      <c r="G55" s="12">
        <v>1</v>
      </c>
      <c r="H55" s="15"/>
      <c r="I55" s="15">
        <v>-0.175440601893016</v>
      </c>
      <c r="J55" s="15"/>
      <c r="K55" s="15">
        <v>-0.166719607297342</v>
      </c>
      <c r="L55" s="15">
        <f>ABS(SQRT(G55)*I55/4880)*E55</f>
        <v>5.5795863552860828E-2</v>
      </c>
      <c r="M55" s="15">
        <f>ABS(K55/1000)*E55</f>
        <v>0.25874883052547482</v>
      </c>
      <c r="N55" s="15">
        <f t="shared" si="5"/>
        <v>0.166719607297342</v>
      </c>
      <c r="O55" s="11">
        <v>1.20873770697426</v>
      </c>
      <c r="P55" s="15" cm="1">
        <f t="array" ref="P55">(E55+2*D55-10537-VgB(O55)*1000)/4880</f>
        <v>0.15300730239235974</v>
      </c>
      <c r="Q55" s="14">
        <f>(4/3)*F55*(1/3)*(1/2)*E55^3*G55*((I55/4880)^2)</f>
        <v>0.3471722067204025</v>
      </c>
    </row>
    <row r="56" spans="1:17" x14ac:dyDescent="0.3">
      <c r="A56" s="13"/>
      <c r="B56" s="17"/>
      <c r="C56" s="13" t="s">
        <v>4</v>
      </c>
      <c r="D56" s="13">
        <v>10017</v>
      </c>
      <c r="E56" s="13">
        <f t="shared" ref="E56:E62" si="7">$B$55-D56</f>
        <v>1086</v>
      </c>
      <c r="F56" s="15" cm="1">
        <f t="array" ref="F56">als(E56/1000)</f>
        <v>0.38744941376341707</v>
      </c>
      <c r="G56" s="12">
        <v>1</v>
      </c>
      <c r="H56" s="15"/>
      <c r="I56" s="15">
        <v>-2.2988825322351001E-2</v>
      </c>
      <c r="J56" s="15"/>
      <c r="K56" s="15">
        <v>0.27655997351998302</v>
      </c>
      <c r="L56" s="15">
        <f>ABS(SQRT(G56)*I56/4880)*E56</f>
        <v>5.1159557991953247E-3</v>
      </c>
      <c r="M56" s="15">
        <f>ABS(K56/1000)*E56</f>
        <v>0.30034413124270154</v>
      </c>
      <c r="N56" s="15">
        <f t="shared" si="5"/>
        <v>0.27655997351998296</v>
      </c>
      <c r="O56" s="11">
        <v>2.4490469895425302</v>
      </c>
      <c r="P56" s="15" cm="1">
        <f t="array" ref="P56">(E56+2*D56-10537-VgB(O56)*1000)/4880</f>
        <v>0.17324840169898617</v>
      </c>
      <c r="Q56" s="14">
        <f>(4/3)*F56*(1/3)*(1/2)*E56^3*G56*((I56/4880)^2)</f>
        <v>2.4472925425282036E-3</v>
      </c>
    </row>
    <row r="57" spans="1:17" x14ac:dyDescent="0.3">
      <c r="C57" t="s">
        <v>5</v>
      </c>
      <c r="D57">
        <v>10355</v>
      </c>
      <c r="E57" s="33">
        <f t="shared" si="7"/>
        <v>748</v>
      </c>
      <c r="F57" s="3" cm="1">
        <f t="array" ref="F57">als(E57/1000)</f>
        <v>0.49474832366413185</v>
      </c>
      <c r="G57" s="7">
        <v>1</v>
      </c>
      <c r="H57" s="3"/>
      <c r="I57" s="3">
        <v>-0.40496477377773898</v>
      </c>
      <c r="J57" s="3"/>
      <c r="K57" s="3"/>
      <c r="L57" s="3">
        <f>ABS(SQRT(G57)*I57/4880)*E57</f>
        <v>6.2072469423309171E-2</v>
      </c>
      <c r="M57" s="3"/>
      <c r="N57" s="3">
        <f t="shared" si="5"/>
        <v>0</v>
      </c>
      <c r="O57" s="10">
        <v>3.4295530668187899</v>
      </c>
      <c r="P57" s="3" cm="1">
        <f t="array" ref="P57">(E57+2*D57-10537-VgB(O57)*1000)/4880</f>
        <v>0.19357091282574185</v>
      </c>
      <c r="Q57" s="8">
        <f>(4/3)*F57*(1/3)*(1/2)*E57^3*G57*((I57/4880)^2)</f>
        <v>0.31686295053942454</v>
      </c>
    </row>
    <row r="58" spans="1:17" x14ac:dyDescent="0.3">
      <c r="C58" t="s">
        <v>6</v>
      </c>
      <c r="D58">
        <v>10643</v>
      </c>
      <c r="E58" s="33">
        <f t="shared" si="7"/>
        <v>460</v>
      </c>
      <c r="F58" s="3" cm="1">
        <f t="array" ref="F58">als(E58/1000)</f>
        <v>0.82963573853163131</v>
      </c>
      <c r="G58" s="7">
        <v>1</v>
      </c>
      <c r="H58" s="3"/>
      <c r="I58" s="3">
        <v>0.44925664300760099</v>
      </c>
      <c r="J58" s="3"/>
      <c r="K58" s="3"/>
      <c r="L58" s="3">
        <f>ABS(SQRT(G58)*I58/4880)*E58</f>
        <v>4.2347962250716492E-2</v>
      </c>
      <c r="M58" s="3"/>
      <c r="N58" s="3">
        <f t="shared" si="5"/>
        <v>0</v>
      </c>
      <c r="O58" s="10">
        <v>4.2872389731671996</v>
      </c>
      <c r="P58" s="3" cm="1">
        <f t="array" ref="P58">(E58+2*D58-10537-VgB(O58)*1000)/4880</f>
        <v>0.21193108714579489</v>
      </c>
      <c r="Q58" s="8">
        <f>(4/3)*F58*(1/3)*(1/2)*E58^3*G58*((I58/4880)^2)</f>
        <v>0.15208900004607578</v>
      </c>
    </row>
    <row r="59" spans="1:17" x14ac:dyDescent="0.3">
      <c r="A59" s="13"/>
      <c r="B59" s="13"/>
      <c r="C59" s="13" t="s">
        <v>8</v>
      </c>
      <c r="D59" s="13">
        <v>10106</v>
      </c>
      <c r="E59" s="13">
        <f t="shared" si="7"/>
        <v>997</v>
      </c>
      <c r="F59" s="15" cm="1">
        <f t="array" ref="F59">als(E59/1000)</f>
        <v>0.40725178444685156</v>
      </c>
      <c r="G59" s="12">
        <v>1</v>
      </c>
      <c r="H59" s="15">
        <v>0.70171434925961096</v>
      </c>
      <c r="I59" s="15"/>
      <c r="J59" s="15">
        <v>1.78900280512335</v>
      </c>
      <c r="K59" s="15"/>
      <c r="L59" s="15">
        <f>ABS(SQRT(G59)*H59/4880)*E59</f>
        <v>0.14336254225652298</v>
      </c>
      <c r="M59" s="35">
        <f>ABS(J59/1000)*E59</f>
        <v>1.7836357967079799</v>
      </c>
      <c r="N59" s="15">
        <f t="shared" si="5"/>
        <v>1.78900280512335</v>
      </c>
      <c r="O59" s="11">
        <v>2.6197365527972898</v>
      </c>
      <c r="P59" s="15" cm="1">
        <f t="array" ref="P59">(E59+2*D59-10537-VgB(O59)*1000)/4880</f>
        <v>0.182657562789725</v>
      </c>
      <c r="Q59" s="14">
        <f>(4/3)*F59*(1/3)*(1/2)*E59^3*G59*((H59/4880)^2)</f>
        <v>1.8544581116764831</v>
      </c>
    </row>
    <row r="60" spans="1:17" x14ac:dyDescent="0.3">
      <c r="C60" t="s">
        <v>9</v>
      </c>
      <c r="D60">
        <v>10416</v>
      </c>
      <c r="E60" s="33">
        <f t="shared" si="7"/>
        <v>687</v>
      </c>
      <c r="F60" s="3" cm="1">
        <f t="array" ref="F60">als(E60/1000)</f>
        <v>0.52976416735003551</v>
      </c>
      <c r="G60" s="7">
        <v>1</v>
      </c>
      <c r="H60" s="3">
        <v>0.13096218287427799</v>
      </c>
      <c r="I60" s="3"/>
      <c r="J60" s="3"/>
      <c r="K60" s="3"/>
      <c r="L60" s="3">
        <f>ABS(SQRT(G60)*H60/4880)*E60</f>
        <v>1.8436684351358396E-2</v>
      </c>
      <c r="M60" s="3"/>
      <c r="N60" s="3">
        <f t="shared" si="5"/>
        <v>0</v>
      </c>
      <c r="O60" s="10">
        <v>3.5477705192787301</v>
      </c>
      <c r="P60" s="3" cm="1">
        <f t="array" ref="P60">(E60+2*D60-10537-VgB(O60)*1000)/4880</f>
        <v>0.20038472473656355</v>
      </c>
      <c r="Q60" s="8">
        <f>(4/3)*F60*(1/3)*(1/2)*E60^3*G60*((H60/4880)^2)</f>
        <v>2.7491120643388677E-2</v>
      </c>
    </row>
    <row r="61" spans="1:17" x14ac:dyDescent="0.3">
      <c r="C61" t="s">
        <v>10</v>
      </c>
      <c r="D61">
        <v>10689</v>
      </c>
      <c r="E61" s="33">
        <f t="shared" si="7"/>
        <v>414</v>
      </c>
      <c r="F61" s="3" cm="1">
        <f t="array" ref="F61">als(E61/1000)</f>
        <v>0.98940710127700759</v>
      </c>
      <c r="G61" s="7">
        <v>1</v>
      </c>
      <c r="H61" s="3">
        <v>-0.28639877481579001</v>
      </c>
      <c r="I61" s="3"/>
      <c r="J61" s="3"/>
      <c r="K61" s="3"/>
      <c r="L61" s="3">
        <f>ABS(SQRT(G61)*H61/4880)*E61</f>
        <v>2.4296945240519889E-2</v>
      </c>
      <c r="M61" s="3"/>
      <c r="N61" s="3">
        <f t="shared" si="5"/>
        <v>0</v>
      </c>
      <c r="O61" s="10">
        <v>4.3779667163029297</v>
      </c>
      <c r="P61" s="3" cm="1">
        <f t="array" ref="P61">(E61+2*D61-10537-VgB(O61)*1000)/4880</f>
        <v>0.21712236169468768</v>
      </c>
      <c r="Q61" s="8">
        <f>(4/3)*F61*(1/3)*(1/2)*E61^3*G61*((H61/4880)^2)</f>
        <v>5.373610702074099E-2</v>
      </c>
    </row>
    <row r="62" spans="1:17" x14ac:dyDescent="0.3">
      <c r="C62" t="s">
        <v>11</v>
      </c>
      <c r="D62">
        <v>10939</v>
      </c>
      <c r="E62" s="33">
        <f t="shared" si="7"/>
        <v>164</v>
      </c>
      <c r="F62" s="3" cm="1">
        <f t="array" ref="F62">als(E62/1000)</f>
        <v>1</v>
      </c>
      <c r="G62" s="7">
        <v>1</v>
      </c>
      <c r="H62" s="3">
        <v>4.2053448381674602E-2</v>
      </c>
      <c r="I62" s="3"/>
      <c r="J62" s="3"/>
      <c r="K62" s="3"/>
      <c r="L62" s="3">
        <f>ABS(SQRT(G62)*H62/4880)*E62</f>
        <v>1.4132716259415237E-3</v>
      </c>
      <c r="M62" s="3"/>
      <c r="N62" s="3">
        <f t="shared" si="5"/>
        <v>0</v>
      </c>
      <c r="O62" s="10">
        <v>5.1386442490654396</v>
      </c>
      <c r="P62" s="3" cm="1">
        <f t="array" ref="P62">(E62+2*D62-10537-VgB(O62)*1000)/4880</f>
        <v>0.23317549437890758</v>
      </c>
      <c r="Q62" s="8">
        <f>(4/3)*F62*(1/3)*(1/2)*E62^3*G62*((H62/4880)^2)</f>
        <v>7.2791825987864275E-5</v>
      </c>
    </row>
    <row r="64" spans="1:17" x14ac:dyDescent="0.3">
      <c r="A64" s="2"/>
      <c r="B64" s="2"/>
    </row>
    <row r="65" spans="1:1" x14ac:dyDescent="0.3">
      <c r="A65" s="2"/>
    </row>
    <row r="68" spans="1:1" x14ac:dyDescent="0.3">
      <c r="A68" s="26"/>
    </row>
  </sheetData>
  <conditionalFormatting sqref="C10:C12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C18:C20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C26:C30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60:C62 C52:C54 C44:C46">
    <cfRule type="iconSet" priority="3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3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1423C-DDC0-438D-9AF1-BF2418F5B228}">
  <sheetPr codeName="Full10">
    <pageSetUpPr fitToPage="1"/>
  </sheetPr>
  <dimension ref="A1"/>
  <sheetViews>
    <sheetView topLeftCell="A4" workbookViewId="0">
      <selection activeCell="V9" sqref="V9"/>
    </sheetView>
  </sheetViews>
  <sheetFormatPr defaultRowHeight="14.4" x14ac:dyDescent="0.3"/>
  <sheetData/>
  <pageMargins left="0.7" right="0.7" top="0.75" bottom="0.75" header="0.3" footer="0.3"/>
  <pageSetup scale="5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Fulls de càlcul</vt:lpstr>
      </vt:variant>
      <vt:variant>
        <vt:i4>13</vt:i4>
      </vt:variant>
    </vt:vector>
  </HeadingPairs>
  <TitlesOfParts>
    <vt:vector size="13" baseType="lpstr">
      <vt:lpstr>cons</vt:lpstr>
      <vt:lpstr>flip0</vt:lpstr>
      <vt:lpstr>flip1</vt:lpstr>
      <vt:lpstr>p0_cons</vt:lpstr>
      <vt:lpstr>p1_cons</vt:lpstr>
      <vt:lpstr>sd1_cons</vt:lpstr>
      <vt:lpstr>p0_flip0</vt:lpstr>
      <vt:lpstr>p1_flip0</vt:lpstr>
      <vt:lpstr>sd1_flip0</vt:lpstr>
      <vt:lpstr>p0_flip1</vt:lpstr>
      <vt:lpstr>p1_flip1</vt:lpstr>
      <vt:lpstr>sd1_flip1</vt:lpstr>
      <vt:lpstr>VBA_querry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Oncala</dc:creator>
  <cp:lastModifiedBy>Rubén Oncala Mesa</cp:lastModifiedBy>
  <cp:lastPrinted>2025-10-28T08:12:19Z</cp:lastPrinted>
  <dcterms:created xsi:type="dcterms:W3CDTF">2015-06-05T18:17:20Z</dcterms:created>
  <dcterms:modified xsi:type="dcterms:W3CDTF">2025-10-28T17:25:51Z</dcterms:modified>
</cp:coreProperties>
</file>